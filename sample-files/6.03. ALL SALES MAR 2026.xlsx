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cc\dari lin\ACCESS\CMT\CAB\.CANNA\.SALES.ENTRY\"/>
    </mc:Choice>
  </mc:AlternateContent>
  <xr:revisionPtr revIDLastSave="0" documentId="13_ncr:1_{8D766904-2C91-4ACE-8515-5CE7E626EE23}" xr6:coauthVersionLast="47" xr6:coauthVersionMax="47" xr10:uidLastSave="{00000000-0000-0000-0000-000000000000}"/>
  <bookViews>
    <workbookView xWindow="-120" yWindow="-120" windowWidth="20640" windowHeight="11310" tabRatio="665" xr2:uid="{9E55ECEC-3DBF-45EF-9656-41FE50C92AF7}"/>
  </bookViews>
  <sheets>
    <sheet name="01" sheetId="32" r:id="rId1"/>
    <sheet name="02" sheetId="33" r:id="rId2"/>
    <sheet name="03" sheetId="34" r:id="rId3"/>
    <sheet name="REKAP (FEB)" sheetId="10" r:id="rId4"/>
  </sheets>
  <definedNames>
    <definedName name="_xlnm._FilterDatabase" localSheetId="0" hidden="1">'01'!$I$1:$I$86</definedName>
    <definedName name="_xlnm._FilterDatabase" localSheetId="1" hidden="1">'02'!$A$1:$A$69</definedName>
    <definedName name="_xlnm._FilterDatabase" localSheetId="2" hidden="1">'03'!$A$1:$C$65</definedName>
    <definedName name="_xlnm.Print_Area" localSheetId="0">'01'!$B$53:$M$88</definedName>
    <definedName name="_xlnm.Print_Area" localSheetId="2">'03'!$B$35:$K$78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0" l="1"/>
  <c r="F5" i="34"/>
  <c r="G60" i="34"/>
  <c r="F58" i="34"/>
  <c r="F59" i="34" s="1"/>
  <c r="E58" i="34"/>
  <c r="E59" i="34" s="1"/>
  <c r="D57" i="34"/>
  <c r="G57" i="34" s="1"/>
  <c r="D56" i="34"/>
  <c r="G56" i="34" s="1"/>
  <c r="G55" i="34"/>
  <c r="G54" i="34"/>
  <c r="F46" i="34"/>
  <c r="F53" i="34" s="1"/>
  <c r="E46" i="34"/>
  <c r="E53" i="34" s="1"/>
  <c r="D46" i="34"/>
  <c r="G45" i="34"/>
  <c r="G44" i="34"/>
  <c r="G43" i="34"/>
  <c r="G42" i="34"/>
  <c r="G41" i="34"/>
  <c r="G40" i="34"/>
  <c r="G39" i="34"/>
  <c r="G31" i="34"/>
  <c r="F28" i="34"/>
  <c r="E28" i="34"/>
  <c r="D28" i="34"/>
  <c r="D27" i="34"/>
  <c r="G27" i="34" s="1"/>
  <c r="E26" i="34"/>
  <c r="D25" i="34"/>
  <c r="G24" i="34"/>
  <c r="G23" i="34"/>
  <c r="F19" i="34"/>
  <c r="F22" i="34" s="1"/>
  <c r="E19" i="34"/>
  <c r="E22" i="34" s="1"/>
  <c r="D19" i="34"/>
  <c r="D22" i="34" s="1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F25" i="34"/>
  <c r="G4" i="34"/>
  <c r="G3" i="34"/>
  <c r="I64" i="33"/>
  <c r="H61" i="33"/>
  <c r="H62" i="33" s="1"/>
  <c r="H63" i="33" s="1"/>
  <c r="G61" i="33"/>
  <c r="G62" i="33" s="1"/>
  <c r="G63" i="33" s="1"/>
  <c r="F61" i="33"/>
  <c r="E61" i="33"/>
  <c r="E62" i="33" s="1"/>
  <c r="E63" i="33" s="1"/>
  <c r="D61" i="33"/>
  <c r="D62" i="33" s="1"/>
  <c r="D63" i="33" s="1"/>
  <c r="F60" i="33"/>
  <c r="I59" i="33"/>
  <c r="I58" i="33"/>
  <c r="H51" i="33"/>
  <c r="H57" i="33" s="1"/>
  <c r="G51" i="33"/>
  <c r="G57" i="33" s="1"/>
  <c r="F51" i="33"/>
  <c r="F57" i="33" s="1"/>
  <c r="E51" i="33"/>
  <c r="E57" i="33" s="1"/>
  <c r="D51" i="33"/>
  <c r="D57" i="33" s="1"/>
  <c r="I50" i="33"/>
  <c r="I49" i="33"/>
  <c r="I48" i="33"/>
  <c r="I47" i="33"/>
  <c r="I46" i="33"/>
  <c r="I45" i="33"/>
  <c r="I44" i="33"/>
  <c r="I43" i="33"/>
  <c r="I35" i="33"/>
  <c r="H32" i="33"/>
  <c r="H33" i="33" s="1"/>
  <c r="H34" i="33" s="1"/>
  <c r="G32" i="33"/>
  <c r="F32" i="33"/>
  <c r="E32" i="33"/>
  <c r="E33" i="33" s="1"/>
  <c r="E34" i="33" s="1"/>
  <c r="D32" i="33"/>
  <c r="D31" i="33"/>
  <c r="I31" i="33" s="1"/>
  <c r="G30" i="33"/>
  <c r="F29" i="33"/>
  <c r="D28" i="33"/>
  <c r="I28" i="33" s="1"/>
  <c r="I27" i="33"/>
  <c r="I26" i="33"/>
  <c r="H19" i="33"/>
  <c r="H25" i="33" s="1"/>
  <c r="G19" i="33"/>
  <c r="G25" i="33" s="1"/>
  <c r="F19" i="33"/>
  <c r="F25" i="33" s="1"/>
  <c r="E19" i="33"/>
  <c r="E25" i="33" s="1"/>
  <c r="D19" i="33"/>
  <c r="D25" i="33" s="1"/>
  <c r="I18" i="33"/>
  <c r="I17" i="33"/>
  <c r="I16" i="33"/>
  <c r="I15" i="33"/>
  <c r="I14" i="33"/>
  <c r="I13" i="33"/>
  <c r="I12" i="33"/>
  <c r="I11" i="33"/>
  <c r="I10" i="33"/>
  <c r="I9" i="33"/>
  <c r="I8" i="33"/>
  <c r="I7" i="33"/>
  <c r="I6" i="33"/>
  <c r="I5" i="33"/>
  <c r="I4" i="33"/>
  <c r="I3" i="33"/>
  <c r="E29" i="34" l="1"/>
  <c r="E30" i="34" s="1"/>
  <c r="F29" i="34"/>
  <c r="F30" i="34" s="1"/>
  <c r="G46" i="34"/>
  <c r="K46" i="34" s="1"/>
  <c r="G19" i="34"/>
  <c r="K19" i="34" s="1"/>
  <c r="G25" i="34"/>
  <c r="G28" i="34"/>
  <c r="D58" i="34"/>
  <c r="D59" i="34" s="1"/>
  <c r="G59" i="34" s="1"/>
  <c r="G22" i="34"/>
  <c r="D53" i="34"/>
  <c r="G53" i="34" s="1"/>
  <c r="D29" i="34"/>
  <c r="G26" i="34"/>
  <c r="F33" i="33"/>
  <c r="F34" i="33" s="1"/>
  <c r="F62" i="33"/>
  <c r="F63" i="33" s="1"/>
  <c r="I63" i="33" s="1"/>
  <c r="I19" i="33"/>
  <c r="M19" i="33" s="1"/>
  <c r="G33" i="33"/>
  <c r="G34" i="33" s="1"/>
  <c r="I57" i="33"/>
  <c r="I32" i="33"/>
  <c r="I51" i="33"/>
  <c r="I61" i="33"/>
  <c r="I25" i="33"/>
  <c r="D33" i="33"/>
  <c r="I29" i="33"/>
  <c r="I60" i="33"/>
  <c r="I30" i="33"/>
  <c r="G65" i="34" l="1"/>
  <c r="C4" i="10" s="1"/>
  <c r="G58" i="34"/>
  <c r="G29" i="34"/>
  <c r="D30" i="34"/>
  <c r="G30" i="34" s="1"/>
  <c r="I62" i="33"/>
  <c r="M51" i="33"/>
  <c r="I69" i="33"/>
  <c r="C3" i="10" s="1"/>
  <c r="D34" i="33"/>
  <c r="I34" i="33" s="1"/>
  <c r="I33" i="33"/>
  <c r="B3" i="10" l="1"/>
  <c r="H81" i="32"/>
  <c r="I79" i="32"/>
  <c r="H78" i="32"/>
  <c r="G78" i="32"/>
  <c r="F78" i="32"/>
  <c r="E78" i="32"/>
  <c r="H76" i="32"/>
  <c r="G76" i="32"/>
  <c r="F76" i="32"/>
  <c r="E76" i="32"/>
  <c r="D76" i="32"/>
  <c r="D75" i="32"/>
  <c r="I75" i="32" s="1"/>
  <c r="I74" i="32"/>
  <c r="I73" i="32"/>
  <c r="H72" i="32"/>
  <c r="G64" i="32"/>
  <c r="G72" i="32" s="1"/>
  <c r="F64" i="32"/>
  <c r="F72" i="32" s="1"/>
  <c r="E64" i="32"/>
  <c r="E72" i="32" s="1"/>
  <c r="D64" i="32"/>
  <c r="D72" i="32" s="1"/>
  <c r="I63" i="32"/>
  <c r="I62" i="32"/>
  <c r="I61" i="32"/>
  <c r="I60" i="32"/>
  <c r="I59" i="32"/>
  <c r="I58" i="32"/>
  <c r="I57" i="32"/>
  <c r="H53" i="32"/>
  <c r="I49" i="32"/>
  <c r="H46" i="32"/>
  <c r="H47" i="32" s="1"/>
  <c r="H48" i="32" s="1"/>
  <c r="G46" i="32"/>
  <c r="F46" i="32"/>
  <c r="E46" i="32"/>
  <c r="D46" i="32"/>
  <c r="G45" i="32"/>
  <c r="I45" i="32" s="1"/>
  <c r="G44" i="32"/>
  <c r="F44" i="32"/>
  <c r="D44" i="32"/>
  <c r="F43" i="32"/>
  <c r="E43" i="32"/>
  <c r="D43" i="32"/>
  <c r="G42" i="32"/>
  <c r="F42" i="32"/>
  <c r="G41" i="32"/>
  <c r="F41" i="32"/>
  <c r="E41" i="32"/>
  <c r="D41" i="32"/>
  <c r="I40" i="32"/>
  <c r="I39" i="32"/>
  <c r="H35" i="32"/>
  <c r="H38" i="32" s="1"/>
  <c r="G35" i="32"/>
  <c r="G38" i="32" s="1"/>
  <c r="F35" i="32"/>
  <c r="F38" i="32" s="1"/>
  <c r="E35" i="32"/>
  <c r="E38" i="32" s="1"/>
  <c r="D35" i="32"/>
  <c r="D38" i="32" s="1"/>
  <c r="I34" i="32"/>
  <c r="I33" i="32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4" i="32"/>
  <c r="I3" i="32"/>
  <c r="E47" i="32" l="1"/>
  <c r="E48" i="32" s="1"/>
  <c r="I44" i="32"/>
  <c r="I76" i="32"/>
  <c r="F47" i="32"/>
  <c r="F48" i="32" s="1"/>
  <c r="I43" i="32"/>
  <c r="I46" i="32"/>
  <c r="G47" i="32"/>
  <c r="G48" i="32" s="1"/>
  <c r="I35" i="32"/>
  <c r="M35" i="32" s="1"/>
  <c r="I38" i="32"/>
  <c r="D47" i="32"/>
  <c r="D48" i="32" s="1"/>
  <c r="I42" i="32"/>
  <c r="I72" i="32"/>
  <c r="I64" i="32"/>
  <c r="D77" i="32"/>
  <c r="I41" i="32"/>
  <c r="M64" i="32" l="1"/>
  <c r="I84" i="32"/>
  <c r="C2" i="10" s="1"/>
  <c r="I48" i="32"/>
  <c r="I47" i="32"/>
  <c r="I77" i="32"/>
  <c r="D78" i="32"/>
  <c r="I78" i="32" s="1"/>
  <c r="E32" i="10" l="1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4" i="10"/>
  <c r="E3" i="10"/>
  <c r="B2" i="10"/>
  <c r="E2" i="10" l="1"/>
  <c r="B36" i="10"/>
  <c r="B38" i="10" s="1"/>
</calcChain>
</file>

<file path=xl/sharedStrings.xml><?xml version="1.0" encoding="utf-8"?>
<sst xmlns="http://schemas.openxmlformats.org/spreadsheetml/2006/main" count="541" uniqueCount="135">
  <si>
    <t>Tandatangan</t>
  </si>
  <si>
    <t>Nama</t>
  </si>
  <si>
    <t>di Periksa oleh</t>
  </si>
  <si>
    <t>TOTAL BILL</t>
  </si>
  <si>
    <t>SELISIH</t>
  </si>
  <si>
    <t>TOTAL PAYMENT</t>
  </si>
  <si>
    <t>TOTAL CASH</t>
  </si>
  <si>
    <t>BNI</t>
  </si>
  <si>
    <t>BCA</t>
  </si>
  <si>
    <t>TOTAL DI SETTLEMENT BANK</t>
  </si>
  <si>
    <t>TOTAL DI REKAP QUINOS</t>
  </si>
  <si>
    <t>TOTAL SALES</t>
  </si>
  <si>
    <t xml:space="preserve">TOTAL </t>
  </si>
  <si>
    <t>DION</t>
  </si>
  <si>
    <t>SINAR</t>
  </si>
  <si>
    <t>ERAWATI</t>
  </si>
  <si>
    <t>MITA</t>
  </si>
  <si>
    <t>KASIR</t>
  </si>
  <si>
    <t>CASH</t>
  </si>
  <si>
    <t>KK</t>
  </si>
  <si>
    <t>7308</t>
  </si>
  <si>
    <t>DEBIT</t>
  </si>
  <si>
    <t>QR</t>
  </si>
  <si>
    <t>BRI 10652400</t>
  </si>
  <si>
    <t>CV TUNAS MUDA KREASI</t>
  </si>
  <si>
    <t>22 87</t>
  </si>
  <si>
    <t>BNI 08190703</t>
  </si>
  <si>
    <t>QUINOS</t>
  </si>
  <si>
    <t>NOTA BILL</t>
  </si>
  <si>
    <t>REMAKS</t>
  </si>
  <si>
    <t>TOTAL</t>
  </si>
  <si>
    <t>POS 2 SORE</t>
  </si>
  <si>
    <t>POS 1 SORE</t>
  </si>
  <si>
    <t>CLIFF</t>
  </si>
  <si>
    <t>POS 1 PAGI</t>
  </si>
  <si>
    <t>JENIS</t>
  </si>
  <si>
    <t>NAMA BANK</t>
  </si>
  <si>
    <t>VOUCHER</t>
  </si>
  <si>
    <t>BRI TRANSFER</t>
  </si>
  <si>
    <t>MANDIRI</t>
  </si>
  <si>
    <t>BRI</t>
  </si>
  <si>
    <t>VOUCHER KLOOK</t>
  </si>
  <si>
    <t xml:space="preserve">7-8774 </t>
  </si>
  <si>
    <t>PT CAHAYA MENTARI BERSINAR</t>
  </si>
  <si>
    <t>4670</t>
  </si>
  <si>
    <t>BNI 08388049</t>
  </si>
  <si>
    <t>9 303</t>
  </si>
  <si>
    <t>BRI 10836385</t>
  </si>
  <si>
    <t>MANDIRI 82032223</t>
  </si>
  <si>
    <t>MANDIRI 82032222</t>
  </si>
  <si>
    <t>MANDIRI 82266801</t>
  </si>
  <si>
    <t>2995</t>
  </si>
  <si>
    <t>3029</t>
  </si>
  <si>
    <t>BCA C2BB8572</t>
  </si>
  <si>
    <t>BCA C2AP2381</t>
  </si>
  <si>
    <t>RINDA</t>
  </si>
  <si>
    <t>BAYU</t>
  </si>
  <si>
    <t>NOTE :</t>
  </si>
  <si>
    <t>CV KARYA BERSAMA ANUGERAH</t>
  </si>
  <si>
    <t>POS 2 PAGI</t>
  </si>
  <si>
    <t>NOTE:</t>
  </si>
  <si>
    <t>BCA C2CT1910</t>
  </si>
  <si>
    <t>0302</t>
  </si>
  <si>
    <t>BRI 10690516</t>
  </si>
  <si>
    <t>BRI 10836386</t>
  </si>
  <si>
    <t>BNI 08388047</t>
  </si>
  <si>
    <t>MANDIRI 82032224</t>
  </si>
  <si>
    <t>KARINA</t>
  </si>
  <si>
    <t>CV BERKAT JAYA BAHAGIA</t>
  </si>
  <si>
    <t>8824</t>
  </si>
  <si>
    <t>BNI 08190203</t>
  </si>
  <si>
    <t>BCA C2AP2382</t>
  </si>
  <si>
    <t>MEI</t>
  </si>
  <si>
    <t>BCA C2AP2384</t>
  </si>
  <si>
    <t>BRUTO</t>
  </si>
  <si>
    <t>TANGGAL</t>
  </si>
  <si>
    <t>BRI 10742131</t>
  </si>
  <si>
    <t>2304</t>
  </si>
  <si>
    <t xml:space="preserve">  01 MARET 2026 (REG)  </t>
  </si>
  <si>
    <t>058631</t>
  </si>
  <si>
    <t>058616,058613,058616,058616</t>
  </si>
  <si>
    <t>058630</t>
  </si>
  <si>
    <t>058627,058628,</t>
  </si>
  <si>
    <t>058622</t>
  </si>
  <si>
    <t>058625</t>
  </si>
  <si>
    <t>058623,058624,058621</t>
  </si>
  <si>
    <t>058630,058621,058623,058624</t>
  </si>
  <si>
    <t>058633</t>
  </si>
  <si>
    <t>058629,058636</t>
  </si>
  <si>
    <t>058634,058626</t>
  </si>
  <si>
    <t>058617</t>
  </si>
  <si>
    <t>058615</t>
  </si>
  <si>
    <t>058614,058612</t>
  </si>
  <si>
    <t>KLK8223722501</t>
  </si>
  <si>
    <t>058618</t>
  </si>
  <si>
    <t>058609,058607,058606,058608,058610,058612,058620,058619,058632,058622,058625,058611,058635</t>
  </si>
  <si>
    <t xml:space="preserve">  01 MARET 2026 (EV)  </t>
  </si>
  <si>
    <t>012421</t>
  </si>
  <si>
    <t>012418</t>
  </si>
  <si>
    <t>012415,012417,0124168,012420</t>
  </si>
  <si>
    <r>
      <t>KEKURANG SATELMENT RP.</t>
    </r>
    <r>
      <rPr>
        <sz val="11"/>
        <color rgb="FFFF0000"/>
        <rFont val="Calibri"/>
        <family val="2"/>
        <scheme val="minor"/>
      </rPr>
      <t>990.000</t>
    </r>
    <r>
      <rPr>
        <sz val="11"/>
        <color theme="1"/>
        <rFont val="Calibri"/>
        <family val="2"/>
        <scheme val="minor"/>
      </rPr>
      <t xml:space="preserve"> PD EDC BNI 08190603 ADALAH DEPOSIT BALI EUPHORIA PD TGL 28 FEB 26 (012419,012422)</t>
    </r>
  </si>
  <si>
    <t xml:space="preserve">  02 MARET 2026 (REG)  </t>
  </si>
  <si>
    <t>058637</t>
  </si>
  <si>
    <t>058639</t>
  </si>
  <si>
    <t>058654,058648,058655,058653</t>
  </si>
  <si>
    <t>058650</t>
  </si>
  <si>
    <t>058651,058647</t>
  </si>
  <si>
    <t>058638,058643,058652,058640,058642,058641,058649,058646,058644</t>
  </si>
  <si>
    <t xml:space="preserve"> </t>
  </si>
  <si>
    <t>012424,012423,012431</t>
  </si>
  <si>
    <t>012430</t>
  </si>
  <si>
    <t>012426</t>
  </si>
  <si>
    <t>BRI TRANSFER  055601002000302</t>
  </si>
  <si>
    <t>PBB / JUNG JIN AH 03/03</t>
  </si>
  <si>
    <t>012434</t>
  </si>
  <si>
    <t>012428,012425,012432,012435,012431</t>
  </si>
  <si>
    <r>
      <t>KEKURANG SATELMENT RP</t>
    </r>
    <r>
      <rPr>
        <sz val="11"/>
        <color rgb="FFFF0000"/>
        <rFont val="Calibri"/>
        <family val="2"/>
        <scheme val="minor"/>
      </rPr>
      <t>.1.350.000</t>
    </r>
    <r>
      <rPr>
        <sz val="11"/>
        <color theme="1"/>
        <rFont val="Calibri"/>
        <family val="2"/>
        <scheme val="minor"/>
      </rPr>
      <t xml:space="preserve"> PD EDC BNI 08190603 ADALAH DEPOSIT BALI EUPHORIA PD TGL 28 FEB 26 (012427,012433,012429)</t>
    </r>
  </si>
  <si>
    <t xml:space="preserve">  03 MARET 2026 (REG)  </t>
  </si>
  <si>
    <t>058684</t>
  </si>
  <si>
    <t>058687,058688,058682,058679,058680,058678,058683,058677,058674</t>
  </si>
  <si>
    <t>058688,058684</t>
  </si>
  <si>
    <t>058678,058682,058676,058675</t>
  </si>
  <si>
    <t>058674</t>
  </si>
  <si>
    <t>058662,058672</t>
  </si>
  <si>
    <t>058665,058668,058673</t>
  </si>
  <si>
    <t>058694,058685,058692,058686,058690,058691,058693,</t>
  </si>
  <si>
    <t>058657,058663,058664,058660,058659,058656,058666,058658,058669,058671,058667,058670,058661,058679,058681,058683,058689</t>
  </si>
  <si>
    <t xml:space="preserve">  03 MARET 2026 (EV)  </t>
  </si>
  <si>
    <t>012439</t>
  </si>
  <si>
    <t>012437,012437</t>
  </si>
  <si>
    <t>012438</t>
  </si>
  <si>
    <t>012440,012436</t>
  </si>
  <si>
    <r>
      <t>KEKURANG SATELMENT RP</t>
    </r>
    <r>
      <rPr>
        <sz val="11"/>
        <color rgb="FFFF0000"/>
        <rFont val="Calibri"/>
        <family val="2"/>
        <scheme val="minor"/>
      </rPr>
      <t>.840.000</t>
    </r>
    <r>
      <rPr>
        <sz val="11"/>
        <color theme="1"/>
        <rFont val="Calibri"/>
        <family val="2"/>
        <scheme val="minor"/>
      </rPr>
      <t xml:space="preserve"> PD EDC BNI 08190603 ADALAH DEPOSIT BALI EUPHORIA PD TGL 28 FEB 26 (012442,012441)</t>
    </r>
  </si>
  <si>
    <t xml:space="preserve">RINDA </t>
  </si>
  <si>
    <t xml:space="preserve">BRI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</si>
</sst>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  <numFmt numFmtId="167" formatCode="[$-409]dd\-mmm\-yy;@"/>
    <numFmt numFmtId="168" formatCode="_(* #,##0_);_(* \(#,##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8" fontId="1" fillId="0" borderId="0" applyFont="0" applyFill="0" applyBorder="0" applyAlignment="0" applyProtection="0"/>
  </cellStyleXfs>
  <cellXfs count="87">
    <xf numFmtId="0" fontId="0" fillId="0" borderId="0" xfId="0"/>
    <xf numFmtId="165" fontId="1" fillId="0" borderId="0" xfId="1" applyNumberFormat="1" applyFont="1"/>
    <xf numFmtId="0" fontId="3" fillId="0" borderId="0" xfId="0" applyFont="1"/>
    <xf numFmtId="166" fontId="1" fillId="0" borderId="0" xfId="3" applyNumberFormat="1" applyFont="1" applyBorder="1"/>
    <xf numFmtId="166" fontId="0" fillId="0" borderId="0" xfId="0" applyNumberFormat="1"/>
    <xf numFmtId="166" fontId="2" fillId="0" borderId="0" xfId="0" applyNumberFormat="1" applyFont="1"/>
    <xf numFmtId="3" fontId="0" fillId="0" borderId="0" xfId="0" applyNumberFormat="1"/>
    <xf numFmtId="166" fontId="1" fillId="0" borderId="0" xfId="3" applyNumberFormat="1" applyFont="1"/>
    <xf numFmtId="165" fontId="4" fillId="0" borderId="0" xfId="1" applyNumberFormat="1" applyFont="1"/>
    <xf numFmtId="166" fontId="4" fillId="0" borderId="0" xfId="0" applyNumberFormat="1" applyFont="1"/>
    <xf numFmtId="0" fontId="4" fillId="0" borderId="0" xfId="0" applyFont="1"/>
    <xf numFmtId="0" fontId="4" fillId="0" borderId="0" xfId="0" quotePrefix="1" applyFont="1"/>
    <xf numFmtId="165" fontId="4" fillId="0" borderId="1" xfId="1" applyNumberFormat="1" applyFont="1" applyBorder="1"/>
    <xf numFmtId="165" fontId="4" fillId="2" borderId="1" xfId="1" applyNumberFormat="1" applyFont="1" applyFill="1" applyBorder="1"/>
    <xf numFmtId="0" fontId="4" fillId="0" borderId="1" xfId="0" applyFont="1" applyBorder="1"/>
    <xf numFmtId="0" fontId="0" fillId="2" borderId="0" xfId="0" quotePrefix="1" applyFill="1" applyAlignment="1">
      <alignment horizontal="left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6" fontId="1" fillId="0" borderId="1" xfId="3" applyNumberFormat="1" applyFont="1" applyBorder="1"/>
    <xf numFmtId="165" fontId="1" fillId="0" borderId="1" xfId="1" applyNumberFormat="1" applyFont="1" applyBorder="1"/>
    <xf numFmtId="0" fontId="0" fillId="2" borderId="1" xfId="0" applyFill="1" applyBorder="1"/>
    <xf numFmtId="0" fontId="0" fillId="0" borderId="1" xfId="0" applyBorder="1"/>
    <xf numFmtId="0" fontId="0" fillId="0" borderId="1" xfId="0" quotePrefix="1" applyBorder="1"/>
    <xf numFmtId="0" fontId="0" fillId="2" borderId="0" xfId="0" quotePrefix="1" applyFill="1"/>
    <xf numFmtId="166" fontId="5" fillId="0" borderId="0" xfId="0" applyNumberFormat="1" applyFont="1"/>
    <xf numFmtId="166" fontId="4" fillId="0" borderId="0" xfId="3" applyNumberFormat="1" applyFont="1"/>
    <xf numFmtId="0" fontId="4" fillId="0" borderId="0" xfId="0" quotePrefix="1" applyFont="1" applyAlignment="1">
      <alignment horizontal="center" wrapText="1"/>
    </xf>
    <xf numFmtId="166" fontId="4" fillId="0" borderId="1" xfId="3" applyNumberFormat="1" applyFont="1" applyBorder="1"/>
    <xf numFmtId="166" fontId="4" fillId="2" borderId="1" xfId="3" applyNumberFormat="1" applyFont="1" applyFill="1" applyBorder="1"/>
    <xf numFmtId="166" fontId="6" fillId="0" borderId="1" xfId="3" applyNumberFormat="1" applyFont="1" applyFill="1" applyBorder="1"/>
    <xf numFmtId="166" fontId="6" fillId="2" borderId="1" xfId="3" applyNumberFormat="1" applyFont="1" applyFill="1" applyBorder="1"/>
    <xf numFmtId="49" fontId="0" fillId="0" borderId="1" xfId="0" quotePrefix="1" applyNumberFormat="1" applyBorder="1"/>
    <xf numFmtId="166" fontId="1" fillId="0" borderId="0" xfId="3" applyNumberFormat="1" applyFont="1" applyFill="1" applyBorder="1" applyAlignment="1">
      <alignment horizontal="center"/>
    </xf>
    <xf numFmtId="166" fontId="3" fillId="0" borderId="1" xfId="3" applyNumberFormat="1" applyFont="1" applyFill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/>
    <xf numFmtId="0" fontId="0" fillId="0" borderId="0" xfId="0" quotePrefix="1"/>
    <xf numFmtId="0" fontId="4" fillId="0" borderId="0" xfId="0" applyFont="1" applyAlignment="1">
      <alignment horizontal="left"/>
    </xf>
    <xf numFmtId="165" fontId="0" fillId="0" borderId="0" xfId="1" applyNumberFormat="1" applyFont="1"/>
    <xf numFmtId="166" fontId="0" fillId="0" borderId="0" xfId="3" applyNumberFormat="1" applyFont="1" applyBorder="1"/>
    <xf numFmtId="166" fontId="0" fillId="0" borderId="1" xfId="3" applyNumberFormat="1" applyFont="1" applyBorder="1"/>
    <xf numFmtId="165" fontId="0" fillId="0" borderId="1" xfId="1" applyNumberFormat="1" applyFont="1" applyBorder="1"/>
    <xf numFmtId="165" fontId="3" fillId="0" borderId="1" xfId="1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166" fontId="0" fillId="0" borderId="1" xfId="3" applyNumberFormat="1" applyFont="1" applyFill="1" applyBorder="1"/>
    <xf numFmtId="166" fontId="0" fillId="2" borderId="1" xfId="3" applyNumberFormat="1" applyFont="1" applyFill="1" applyBorder="1"/>
    <xf numFmtId="0" fontId="1" fillId="2" borderId="1" xfId="0" applyFont="1" applyFill="1" applyBorder="1"/>
    <xf numFmtId="165" fontId="0" fillId="2" borderId="0" xfId="1" quotePrefix="1" applyNumberFormat="1" applyFont="1" applyFill="1"/>
    <xf numFmtId="166" fontId="0" fillId="0" borderId="0" xfId="3" applyNumberFormat="1" applyFont="1"/>
    <xf numFmtId="165" fontId="0" fillId="0" borderId="1" xfId="1" applyNumberFormat="1" applyFont="1" applyFill="1" applyBorder="1"/>
    <xf numFmtId="165" fontId="0" fillId="2" borderId="1" xfId="1" applyNumberFormat="1" applyFont="1" applyFill="1" applyBorder="1"/>
    <xf numFmtId="166" fontId="3" fillId="0" borderId="1" xfId="3" applyNumberFormat="1" applyFont="1" applyBorder="1" applyAlignment="1">
      <alignment horizontal="center"/>
    </xf>
    <xf numFmtId="165" fontId="3" fillId="0" borderId="0" xfId="1" applyNumberFormat="1" applyFont="1"/>
    <xf numFmtId="166" fontId="7" fillId="2" borderId="1" xfId="3" applyNumberFormat="1" applyFont="1" applyFill="1" applyBorder="1"/>
    <xf numFmtId="165" fontId="1" fillId="0" borderId="0" xfId="1" applyNumberFormat="1" applyFont="1" applyBorder="1"/>
    <xf numFmtId="41" fontId="1" fillId="4" borderId="0" xfId="2" applyFont="1" applyFill="1"/>
    <xf numFmtId="167" fontId="8" fillId="0" borderId="1" xfId="0" applyNumberFormat="1" applyFont="1" applyBorder="1"/>
    <xf numFmtId="41" fontId="1" fillId="0" borderId="1" xfId="4" applyFont="1" applyBorder="1"/>
    <xf numFmtId="41" fontId="2" fillId="0" borderId="0" xfId="2" applyFont="1"/>
    <xf numFmtId="41" fontId="4" fillId="0" borderId="0" xfId="2" applyFont="1" applyAlignment="1">
      <alignment horizontal="center"/>
    </xf>
    <xf numFmtId="49" fontId="1" fillId="0" borderId="0" xfId="1" applyNumberFormat="1" applyFont="1"/>
    <xf numFmtId="41" fontId="1" fillId="0" borderId="0" xfId="2" applyFont="1"/>
    <xf numFmtId="167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167" fontId="0" fillId="0" borderId="1" xfId="0" applyNumberFormat="1" applyBorder="1"/>
    <xf numFmtId="165" fontId="0" fillId="0" borderId="1" xfId="0" applyNumberFormat="1" applyBorder="1"/>
    <xf numFmtId="41" fontId="0" fillId="0" borderId="0" xfId="0" applyNumberFormat="1"/>
    <xf numFmtId="166" fontId="3" fillId="0" borderId="1" xfId="3" applyNumberFormat="1" applyFont="1" applyFill="1" applyBorder="1" applyAlignment="1">
      <alignment horizontal="left"/>
    </xf>
    <xf numFmtId="166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0" fontId="4" fillId="0" borderId="0" xfId="0" quotePrefix="1" applyFont="1" applyAlignment="1">
      <alignment horizontal="left" wrapText="1"/>
    </xf>
    <xf numFmtId="165" fontId="0" fillId="2" borderId="0" xfId="1" quotePrefix="1" applyNumberFormat="1" applyFont="1" applyFill="1" applyAlignment="1">
      <alignment horizontal="left"/>
    </xf>
    <xf numFmtId="166" fontId="0" fillId="0" borderId="2" xfId="3" applyNumberFormat="1" applyFont="1" applyBorder="1"/>
    <xf numFmtId="0" fontId="0" fillId="0" borderId="0" xfId="0" quotePrefix="1" applyAlignment="1">
      <alignment horizontal="left"/>
    </xf>
    <xf numFmtId="0" fontId="0" fillId="0" borderId="2" xfId="0" applyBorder="1" applyAlignment="1">
      <alignment horizontal="left"/>
    </xf>
    <xf numFmtId="165" fontId="0" fillId="0" borderId="2" xfId="1" applyNumberFormat="1" applyFont="1" applyFill="1" applyBorder="1"/>
    <xf numFmtId="166" fontId="6" fillId="0" borderId="2" xfId="3" applyNumberFormat="1" applyFont="1" applyFill="1" applyBorder="1"/>
    <xf numFmtId="0" fontId="0" fillId="2" borderId="2" xfId="0" applyFill="1" applyBorder="1" applyAlignment="1">
      <alignment horizontal="left"/>
    </xf>
    <xf numFmtId="41" fontId="2" fillId="0" borderId="0" xfId="0" applyNumberFormat="1" applyFont="1"/>
    <xf numFmtId="168" fontId="0" fillId="0" borderId="0" xfId="5" applyFont="1"/>
    <xf numFmtId="165" fontId="0" fillId="0" borderId="0" xfId="0" applyNumberFormat="1"/>
    <xf numFmtId="166" fontId="1" fillId="3" borderId="1" xfId="3" applyNumberFormat="1" applyFont="1" applyFill="1" applyBorder="1"/>
    <xf numFmtId="166" fontId="3" fillId="2" borderId="1" xfId="3" applyNumberFormat="1" applyFont="1" applyFill="1" applyBorder="1"/>
    <xf numFmtId="165" fontId="3" fillId="2" borderId="1" xfId="1" applyNumberFormat="1" applyFont="1" applyFill="1" applyBorder="1"/>
  </cellXfs>
  <cellStyles count="6">
    <cellStyle name="Comma" xfId="1" builtinId="3"/>
    <cellStyle name="Comma [0]" xfId="2" builtinId="6"/>
    <cellStyle name="Comma [0] 2" xfId="4" xr:uid="{CDDD9444-CEF1-4D5B-90BE-61156C48916E}"/>
    <cellStyle name="Comma [0] 3" xfId="5" xr:uid="{1F1AB108-1C0A-4C1C-BE27-5FF8919E6C54}"/>
    <cellStyle name="Comma 2" xfId="3" xr:uid="{7B8C366E-990C-4001-90B2-6197B54139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CF5C1-9F9D-4B2D-AD20-76DC006835CF}">
  <sheetPr>
    <pageSetUpPr fitToPage="1"/>
  </sheetPr>
  <dimension ref="A1:T84"/>
  <sheetViews>
    <sheetView tabSelected="1" workbookViewId="0">
      <pane xSplit="3" ySplit="2" topLeftCell="D48" activePane="bottomRight" state="frozen"/>
      <selection activeCell="B67" sqref="B67"/>
      <selection pane="topRight" activeCell="B67" sqref="B67"/>
      <selection pane="bottomLeft" activeCell="B67" sqref="B67"/>
      <selection pane="bottomRight" activeCell="B67" sqref="B67"/>
    </sheetView>
  </sheetViews>
  <sheetFormatPr defaultRowHeight="15" x14ac:dyDescent="0.25"/>
  <cols>
    <col min="2" max="2" width="32.42578125" customWidth="1"/>
    <col min="3" max="3" width="18" customWidth="1"/>
    <col min="4" max="8" width="14" style="40" customWidth="1"/>
    <col min="9" max="9" width="12.5703125" bestFit="1" customWidth="1"/>
    <col min="10" max="10" width="2.7109375" customWidth="1"/>
    <col min="11" max="11" width="45.7109375" customWidth="1"/>
    <col min="12" max="12" width="16.28515625" bestFit="1" customWidth="1"/>
    <col min="13" max="13" width="15" customWidth="1"/>
    <col min="14" max="15" width="14.28515625" bestFit="1" customWidth="1"/>
    <col min="16" max="16" width="14.28515625" style="40" bestFit="1" customWidth="1"/>
    <col min="17" max="17" width="14.28515625" style="40" customWidth="1"/>
    <col min="18" max="18" width="11.28515625" style="40" bestFit="1" customWidth="1"/>
  </cols>
  <sheetData>
    <row r="1" spans="1:20" x14ac:dyDescent="0.25">
      <c r="F1" s="2" t="s">
        <v>78</v>
      </c>
    </row>
    <row r="2" spans="1:20" x14ac:dyDescent="0.25">
      <c r="B2" s="45" t="s">
        <v>36</v>
      </c>
      <c r="C2" s="45" t="s">
        <v>35</v>
      </c>
      <c r="D2" s="44" t="s">
        <v>34</v>
      </c>
      <c r="E2" s="44" t="s">
        <v>59</v>
      </c>
      <c r="F2" s="54" t="s">
        <v>33</v>
      </c>
      <c r="G2" s="54" t="s">
        <v>32</v>
      </c>
      <c r="H2" s="44" t="s">
        <v>31</v>
      </c>
      <c r="I2" s="34" t="s">
        <v>30</v>
      </c>
      <c r="J2" s="34" t="s">
        <v>29</v>
      </c>
      <c r="K2" s="34" t="s">
        <v>28</v>
      </c>
      <c r="L2" s="34" t="s">
        <v>27</v>
      </c>
      <c r="M2" s="34" t="s">
        <v>4</v>
      </c>
    </row>
    <row r="3" spans="1:20" x14ac:dyDescent="0.25">
      <c r="A3" s="23" t="s">
        <v>51</v>
      </c>
      <c r="B3" s="77" t="s">
        <v>54</v>
      </c>
      <c r="C3" s="77" t="s">
        <v>22</v>
      </c>
      <c r="D3" s="78"/>
      <c r="E3" s="78"/>
      <c r="F3" s="78"/>
      <c r="G3" s="79"/>
      <c r="H3" s="78"/>
      <c r="I3" s="75">
        <f t="shared" ref="I3:I33" si="0">SUM(D3:H3)</f>
        <v>0</v>
      </c>
      <c r="J3" t="s">
        <v>43</v>
      </c>
      <c r="L3" s="33"/>
      <c r="M3" s="33"/>
    </row>
    <row r="4" spans="1:20" x14ac:dyDescent="0.25">
      <c r="A4" s="23" t="s">
        <v>51</v>
      </c>
      <c r="B4" s="23" t="s">
        <v>51</v>
      </c>
      <c r="C4" s="18" t="s">
        <v>21</v>
      </c>
      <c r="D4" s="52"/>
      <c r="E4" s="52"/>
      <c r="F4" s="52"/>
      <c r="G4" s="30"/>
      <c r="H4" s="52"/>
      <c r="I4" s="42">
        <f t="shared" si="0"/>
        <v>0</v>
      </c>
      <c r="J4" t="s">
        <v>43</v>
      </c>
      <c r="L4" s="33"/>
      <c r="M4" s="33"/>
    </row>
    <row r="5" spans="1:20" x14ac:dyDescent="0.25">
      <c r="A5" s="23" t="s">
        <v>51</v>
      </c>
      <c r="B5" s="18"/>
      <c r="C5" s="17" t="s">
        <v>19</v>
      </c>
      <c r="D5" s="52"/>
      <c r="E5" s="52"/>
      <c r="F5" s="52"/>
      <c r="G5" s="31">
        <v>1000000</v>
      </c>
      <c r="H5" s="52"/>
      <c r="I5" s="42">
        <f t="shared" si="0"/>
        <v>1000000</v>
      </c>
      <c r="J5" t="s">
        <v>43</v>
      </c>
      <c r="K5" s="24" t="s">
        <v>79</v>
      </c>
      <c r="L5" s="33"/>
      <c r="M5" s="33"/>
    </row>
    <row r="6" spans="1:20" s="40" customFormat="1" x14ac:dyDescent="0.25">
      <c r="A6" s="23" t="s">
        <v>51</v>
      </c>
      <c r="B6" s="22" t="s">
        <v>53</v>
      </c>
      <c r="C6" s="22" t="s">
        <v>22</v>
      </c>
      <c r="D6" s="52"/>
      <c r="E6" s="52"/>
      <c r="F6" s="52"/>
      <c r="G6" s="30"/>
      <c r="H6" s="52"/>
      <c r="I6" s="42">
        <f t="shared" si="0"/>
        <v>0</v>
      </c>
      <c r="J6" t="s">
        <v>43</v>
      </c>
      <c r="K6"/>
      <c r="L6"/>
      <c r="M6"/>
      <c r="N6" s="51"/>
      <c r="O6" s="51"/>
      <c r="S6"/>
      <c r="T6"/>
    </row>
    <row r="7" spans="1:20" s="40" customFormat="1" x14ac:dyDescent="0.25">
      <c r="A7" s="23" t="s">
        <v>51</v>
      </c>
      <c r="B7" s="23" t="s">
        <v>51</v>
      </c>
      <c r="C7" s="22" t="s">
        <v>21</v>
      </c>
      <c r="D7" s="52"/>
      <c r="E7" s="52"/>
      <c r="F7" s="52"/>
      <c r="G7" s="30"/>
      <c r="H7" s="52"/>
      <c r="I7" s="42">
        <f t="shared" si="0"/>
        <v>0</v>
      </c>
      <c r="J7" t="s">
        <v>43</v>
      </c>
      <c r="K7"/>
      <c r="L7"/>
      <c r="M7"/>
      <c r="N7" s="51"/>
      <c r="O7" s="51"/>
      <c r="S7"/>
      <c r="T7"/>
    </row>
    <row r="8" spans="1:20" s="40" customFormat="1" x14ac:dyDescent="0.25">
      <c r="A8" s="23" t="s">
        <v>51</v>
      </c>
      <c r="B8" s="22"/>
      <c r="C8" s="21" t="s">
        <v>19</v>
      </c>
      <c r="D8" s="53">
        <v>1766700</v>
      </c>
      <c r="E8" s="52"/>
      <c r="F8" s="52"/>
      <c r="G8" s="30"/>
      <c r="H8" s="52"/>
      <c r="I8" s="42">
        <f t="shared" si="0"/>
        <v>1766700</v>
      </c>
      <c r="J8" t="s">
        <v>43</v>
      </c>
      <c r="K8" s="24" t="s">
        <v>80</v>
      </c>
      <c r="L8"/>
      <c r="M8"/>
      <c r="N8" s="51"/>
      <c r="O8" s="51"/>
      <c r="S8"/>
      <c r="T8"/>
    </row>
    <row r="9" spans="1:20" s="40" customFormat="1" x14ac:dyDescent="0.25">
      <c r="A9" s="32" t="s">
        <v>52</v>
      </c>
      <c r="B9" s="22" t="s">
        <v>61</v>
      </c>
      <c r="C9" s="22" t="s">
        <v>22</v>
      </c>
      <c r="D9" s="52"/>
      <c r="E9" s="52"/>
      <c r="F9" s="52"/>
      <c r="G9" s="30"/>
      <c r="H9" s="52"/>
      <c r="I9" s="42">
        <f t="shared" si="0"/>
        <v>0</v>
      </c>
      <c r="J9" t="s">
        <v>43</v>
      </c>
      <c r="K9"/>
      <c r="L9"/>
      <c r="M9"/>
      <c r="N9" s="51"/>
      <c r="O9" s="51"/>
      <c r="S9"/>
      <c r="T9"/>
    </row>
    <row r="10" spans="1:20" s="40" customFormat="1" x14ac:dyDescent="0.25">
      <c r="A10" s="32" t="s">
        <v>52</v>
      </c>
      <c r="B10" s="32" t="s">
        <v>52</v>
      </c>
      <c r="C10" s="22" t="s">
        <v>21</v>
      </c>
      <c r="D10" s="52"/>
      <c r="E10" s="52"/>
      <c r="F10" s="52"/>
      <c r="G10" s="30"/>
      <c r="H10" s="52"/>
      <c r="I10" s="42">
        <f t="shared" si="0"/>
        <v>0</v>
      </c>
      <c r="J10" t="s">
        <v>43</v>
      </c>
      <c r="K10"/>
      <c r="L10"/>
      <c r="M10"/>
      <c r="N10" s="51"/>
      <c r="O10" s="51"/>
      <c r="S10"/>
      <c r="T10"/>
    </row>
    <row r="11" spans="1:20" s="40" customFormat="1" x14ac:dyDescent="0.25">
      <c r="A11" s="32" t="s">
        <v>52</v>
      </c>
      <c r="B11" s="22"/>
      <c r="C11" s="21" t="s">
        <v>19</v>
      </c>
      <c r="D11" s="52"/>
      <c r="E11" s="52"/>
      <c r="F11" s="52"/>
      <c r="G11" s="31">
        <v>2000000</v>
      </c>
      <c r="H11" s="52"/>
      <c r="I11" s="42">
        <f t="shared" si="0"/>
        <v>2000000</v>
      </c>
      <c r="J11" t="s">
        <v>43</v>
      </c>
      <c r="K11" s="24" t="s">
        <v>81</v>
      </c>
      <c r="L11"/>
      <c r="M11"/>
      <c r="N11" s="51"/>
      <c r="O11" s="51"/>
      <c r="S11"/>
      <c r="T11"/>
    </row>
    <row r="12" spans="1:20" s="40" customFormat="1" x14ac:dyDescent="0.25">
      <c r="A12" s="23" t="s">
        <v>42</v>
      </c>
      <c r="B12" s="22" t="s">
        <v>50</v>
      </c>
      <c r="C12" s="22" t="s">
        <v>22</v>
      </c>
      <c r="D12" s="52"/>
      <c r="E12" s="52"/>
      <c r="F12" s="52"/>
      <c r="G12" s="30"/>
      <c r="H12" s="52"/>
      <c r="I12" s="42">
        <f t="shared" si="0"/>
        <v>0</v>
      </c>
      <c r="J12" t="s">
        <v>43</v>
      </c>
      <c r="K12" s="38"/>
      <c r="L12"/>
      <c r="M12"/>
      <c r="N12" s="51"/>
      <c r="O12" s="51"/>
      <c r="S12"/>
      <c r="T12"/>
    </row>
    <row r="13" spans="1:20" s="40" customFormat="1" x14ac:dyDescent="0.25">
      <c r="A13" s="23" t="s">
        <v>42</v>
      </c>
      <c r="B13" s="23" t="s">
        <v>42</v>
      </c>
      <c r="C13" s="22" t="s">
        <v>21</v>
      </c>
      <c r="D13" s="52"/>
      <c r="E13" s="52"/>
      <c r="F13" s="52"/>
      <c r="G13" s="30"/>
      <c r="H13" s="52"/>
      <c r="I13" s="42">
        <f t="shared" si="0"/>
        <v>0</v>
      </c>
      <c r="J13" t="s">
        <v>43</v>
      </c>
      <c r="K13" s="38"/>
      <c r="L13"/>
      <c r="M13"/>
      <c r="N13" s="51"/>
      <c r="O13" s="51"/>
      <c r="S13"/>
      <c r="T13"/>
    </row>
    <row r="14" spans="1:20" s="40" customFormat="1" x14ac:dyDescent="0.25">
      <c r="A14" s="23" t="s">
        <v>42</v>
      </c>
      <c r="B14" s="22"/>
      <c r="C14" s="21" t="s">
        <v>19</v>
      </c>
      <c r="D14" s="52"/>
      <c r="E14" s="52"/>
      <c r="F14" s="53">
        <v>7617000</v>
      </c>
      <c r="G14" s="30"/>
      <c r="H14" s="52"/>
      <c r="I14" s="42">
        <f t="shared" si="0"/>
        <v>7617000</v>
      </c>
      <c r="J14" t="s">
        <v>43</v>
      </c>
      <c r="K14" s="24" t="s">
        <v>82</v>
      </c>
      <c r="L14"/>
      <c r="M14"/>
      <c r="N14" s="51"/>
      <c r="O14" s="51"/>
      <c r="S14"/>
      <c r="T14"/>
    </row>
    <row r="15" spans="1:20" s="40" customFormat="1" x14ac:dyDescent="0.25">
      <c r="A15" s="23" t="s">
        <v>42</v>
      </c>
      <c r="B15" s="22" t="s">
        <v>49</v>
      </c>
      <c r="C15" s="21" t="s">
        <v>22</v>
      </c>
      <c r="D15" s="52"/>
      <c r="E15" s="52"/>
      <c r="F15" s="52"/>
      <c r="G15" s="31">
        <v>1000000</v>
      </c>
      <c r="H15" s="52"/>
      <c r="I15" s="42">
        <f t="shared" si="0"/>
        <v>1000000</v>
      </c>
      <c r="J15" t="s">
        <v>43</v>
      </c>
      <c r="K15" s="24" t="s">
        <v>83</v>
      </c>
      <c r="L15"/>
      <c r="M15"/>
      <c r="N15" s="51"/>
      <c r="O15" s="51"/>
      <c r="S15"/>
      <c r="T15"/>
    </row>
    <row r="16" spans="1:20" s="40" customFormat="1" x14ac:dyDescent="0.25">
      <c r="A16" s="23" t="s">
        <v>42</v>
      </c>
      <c r="B16" s="23" t="s">
        <v>42</v>
      </c>
      <c r="C16" s="21" t="s">
        <v>21</v>
      </c>
      <c r="D16" s="52"/>
      <c r="E16" s="52"/>
      <c r="F16" s="52"/>
      <c r="G16" s="31">
        <v>1000000</v>
      </c>
      <c r="H16" s="52"/>
      <c r="I16" s="42">
        <f t="shared" si="0"/>
        <v>1000000</v>
      </c>
      <c r="J16" t="s">
        <v>43</v>
      </c>
      <c r="K16" s="24" t="s">
        <v>84</v>
      </c>
      <c r="L16"/>
      <c r="M16"/>
      <c r="N16" s="51"/>
      <c r="O16" s="51"/>
      <c r="S16"/>
      <c r="T16"/>
    </row>
    <row r="17" spans="1:20" s="40" customFormat="1" x14ac:dyDescent="0.25">
      <c r="A17" s="23" t="s">
        <v>42</v>
      </c>
      <c r="B17" s="22"/>
      <c r="C17" s="21" t="s">
        <v>19</v>
      </c>
      <c r="D17" s="52"/>
      <c r="E17" s="52"/>
      <c r="F17" s="52"/>
      <c r="G17" s="31">
        <v>2500000</v>
      </c>
      <c r="H17" s="52"/>
      <c r="I17" s="42">
        <f t="shared" si="0"/>
        <v>2500000</v>
      </c>
      <c r="J17" t="s">
        <v>43</v>
      </c>
      <c r="K17" s="24" t="s">
        <v>85</v>
      </c>
      <c r="L17"/>
      <c r="M17"/>
      <c r="N17" s="51"/>
      <c r="O17" s="51"/>
      <c r="S17"/>
      <c r="T17"/>
    </row>
    <row r="18" spans="1:20" s="40" customFormat="1" ht="14.25" customHeight="1" x14ac:dyDescent="0.25">
      <c r="A18" s="23" t="s">
        <v>42</v>
      </c>
      <c r="B18" s="22" t="s">
        <v>66</v>
      </c>
      <c r="C18" s="22" t="s">
        <v>22</v>
      </c>
      <c r="D18" s="52"/>
      <c r="E18" s="30"/>
      <c r="F18" s="30"/>
      <c r="G18" s="30"/>
      <c r="H18" s="30"/>
      <c r="I18" s="42">
        <f t="shared" si="0"/>
        <v>0</v>
      </c>
      <c r="J18" t="s">
        <v>43</v>
      </c>
      <c r="K18"/>
      <c r="L18"/>
      <c r="M18"/>
      <c r="N18" s="51"/>
      <c r="O18" s="51"/>
      <c r="S18"/>
      <c r="T18"/>
    </row>
    <row r="19" spans="1:20" s="40" customFormat="1" x14ac:dyDescent="0.25">
      <c r="A19" s="23" t="s">
        <v>42</v>
      </c>
      <c r="B19" s="23" t="s">
        <v>42</v>
      </c>
      <c r="C19" s="22" t="s">
        <v>21</v>
      </c>
      <c r="D19" s="52"/>
      <c r="E19" s="30"/>
      <c r="F19" s="30"/>
      <c r="G19" s="30"/>
      <c r="H19" s="30"/>
      <c r="I19" s="42">
        <f t="shared" si="0"/>
        <v>0</v>
      </c>
      <c r="J19" t="s">
        <v>43</v>
      </c>
      <c r="K19"/>
      <c r="L19"/>
      <c r="M19"/>
      <c r="N19" s="51"/>
      <c r="O19" s="51"/>
      <c r="S19"/>
      <c r="T19"/>
    </row>
    <row r="20" spans="1:20" s="40" customFormat="1" x14ac:dyDescent="0.25">
      <c r="A20" s="23" t="s">
        <v>42</v>
      </c>
      <c r="B20" s="22"/>
      <c r="C20" s="21" t="s">
        <v>19</v>
      </c>
      <c r="D20" s="52"/>
      <c r="E20" s="30"/>
      <c r="F20" s="30"/>
      <c r="G20" s="31">
        <v>916100</v>
      </c>
      <c r="H20" s="30"/>
      <c r="I20" s="42">
        <f t="shared" si="0"/>
        <v>916100</v>
      </c>
      <c r="J20" t="s">
        <v>43</v>
      </c>
      <c r="K20" s="24" t="s">
        <v>86</v>
      </c>
      <c r="L20"/>
      <c r="M20"/>
      <c r="N20" s="51"/>
      <c r="O20" s="51"/>
      <c r="S20"/>
      <c r="T20"/>
    </row>
    <row r="21" spans="1:20" s="40" customFormat="1" x14ac:dyDescent="0.25">
      <c r="A21" s="23" t="s">
        <v>44</v>
      </c>
      <c r="B21" s="22" t="s">
        <v>45</v>
      </c>
      <c r="C21" s="21" t="s">
        <v>22</v>
      </c>
      <c r="D21" s="52"/>
      <c r="E21" s="30"/>
      <c r="F21" s="31">
        <v>2044900</v>
      </c>
      <c r="G21" s="30"/>
      <c r="H21" s="30"/>
      <c r="I21" s="42">
        <f t="shared" si="0"/>
        <v>2044900</v>
      </c>
      <c r="J21" t="s">
        <v>43</v>
      </c>
      <c r="K21" s="24" t="s">
        <v>87</v>
      </c>
      <c r="L21"/>
      <c r="M21"/>
      <c r="N21" s="51"/>
      <c r="O21" s="51"/>
      <c r="S21"/>
      <c r="T21"/>
    </row>
    <row r="22" spans="1:20" s="40" customFormat="1" x14ac:dyDescent="0.25">
      <c r="A22" s="23" t="s">
        <v>44</v>
      </c>
      <c r="B22" s="23" t="s">
        <v>44</v>
      </c>
      <c r="C22" s="21" t="s">
        <v>21</v>
      </c>
      <c r="D22" s="52"/>
      <c r="E22" s="30"/>
      <c r="F22" s="31">
        <v>1494400</v>
      </c>
      <c r="G22" s="30"/>
      <c r="H22" s="30"/>
      <c r="I22" s="42">
        <f t="shared" si="0"/>
        <v>1494400</v>
      </c>
      <c r="J22" t="s">
        <v>43</v>
      </c>
      <c r="K22" s="24" t="s">
        <v>88</v>
      </c>
      <c r="L22"/>
      <c r="M22"/>
      <c r="N22" s="51"/>
      <c r="O22" s="51"/>
      <c r="S22"/>
      <c r="T22"/>
    </row>
    <row r="23" spans="1:20" s="40" customFormat="1" x14ac:dyDescent="0.25">
      <c r="A23" s="23" t="s">
        <v>44</v>
      </c>
      <c r="B23" s="22"/>
      <c r="C23" s="21" t="s">
        <v>19</v>
      </c>
      <c r="D23" s="52"/>
      <c r="E23" s="30"/>
      <c r="F23" s="31">
        <v>4791700</v>
      </c>
      <c r="G23" s="30"/>
      <c r="H23" s="30"/>
      <c r="I23" s="42">
        <f t="shared" si="0"/>
        <v>4791700</v>
      </c>
      <c r="J23" t="s">
        <v>43</v>
      </c>
      <c r="K23" s="24" t="s">
        <v>89</v>
      </c>
      <c r="L23"/>
      <c r="M23"/>
      <c r="N23" s="51"/>
      <c r="O23" s="51"/>
      <c r="S23"/>
      <c r="T23"/>
    </row>
    <row r="24" spans="1:20" s="40" customFormat="1" x14ac:dyDescent="0.25">
      <c r="A24" s="23" t="s">
        <v>44</v>
      </c>
      <c r="B24" s="22" t="s">
        <v>65</v>
      </c>
      <c r="C24" s="22" t="s">
        <v>22</v>
      </c>
      <c r="D24" s="52"/>
      <c r="E24" s="30"/>
      <c r="F24" s="30"/>
      <c r="G24" s="30"/>
      <c r="H24" s="30"/>
      <c r="I24" s="42">
        <f t="shared" si="0"/>
        <v>0</v>
      </c>
      <c r="J24" t="s">
        <v>43</v>
      </c>
      <c r="K24"/>
      <c r="L24"/>
      <c r="M24"/>
      <c r="N24" s="51"/>
      <c r="O24" s="51"/>
      <c r="S24"/>
      <c r="T24"/>
    </row>
    <row r="25" spans="1:20" s="40" customFormat="1" x14ac:dyDescent="0.25">
      <c r="A25" s="23" t="s">
        <v>44</v>
      </c>
      <c r="B25" s="23" t="s">
        <v>44</v>
      </c>
      <c r="C25" s="22" t="s">
        <v>21</v>
      </c>
      <c r="D25" s="52"/>
      <c r="E25" s="30"/>
      <c r="F25" s="30"/>
      <c r="G25" s="30"/>
      <c r="H25" s="30"/>
      <c r="I25" s="42">
        <f t="shared" si="0"/>
        <v>0</v>
      </c>
      <c r="J25" t="s">
        <v>43</v>
      </c>
      <c r="K25"/>
      <c r="L25"/>
      <c r="M25"/>
      <c r="N25" s="51"/>
      <c r="O25" s="51"/>
      <c r="S25"/>
      <c r="T25"/>
    </row>
    <row r="26" spans="1:20" s="40" customFormat="1" x14ac:dyDescent="0.25">
      <c r="A26" s="23" t="s">
        <v>44</v>
      </c>
      <c r="B26" s="22"/>
      <c r="C26" s="21" t="s">
        <v>19</v>
      </c>
      <c r="D26" s="52"/>
      <c r="E26" s="30"/>
      <c r="F26" s="30"/>
      <c r="G26" s="31">
        <v>381200</v>
      </c>
      <c r="H26" s="30"/>
      <c r="I26" s="42">
        <f t="shared" si="0"/>
        <v>381200</v>
      </c>
      <c r="J26" t="s">
        <v>43</v>
      </c>
      <c r="K26" s="24" t="s">
        <v>90</v>
      </c>
      <c r="L26"/>
      <c r="M26"/>
      <c r="N26" s="51"/>
      <c r="O26" s="51"/>
      <c r="S26"/>
      <c r="T26"/>
    </row>
    <row r="27" spans="1:20" s="40" customFormat="1" x14ac:dyDescent="0.25">
      <c r="A27" s="22" t="s">
        <v>46</v>
      </c>
      <c r="B27" s="22" t="s">
        <v>64</v>
      </c>
      <c r="C27" s="22" t="s">
        <v>22</v>
      </c>
      <c r="D27" s="52"/>
      <c r="E27" s="30"/>
      <c r="F27" s="30"/>
      <c r="G27" s="30"/>
      <c r="H27" s="30"/>
      <c r="I27" s="42">
        <f t="shared" si="0"/>
        <v>0</v>
      </c>
      <c r="J27" t="s">
        <v>43</v>
      </c>
      <c r="K27" s="38"/>
      <c r="L27"/>
      <c r="M27"/>
      <c r="N27" s="51"/>
      <c r="O27" s="51"/>
      <c r="S27"/>
      <c r="T27"/>
    </row>
    <row r="28" spans="1:20" s="40" customFormat="1" x14ac:dyDescent="0.25">
      <c r="A28" s="22" t="s">
        <v>46</v>
      </c>
      <c r="B28" s="22" t="s">
        <v>46</v>
      </c>
      <c r="C28" s="22" t="s">
        <v>21</v>
      </c>
      <c r="D28" s="52"/>
      <c r="E28" s="30"/>
      <c r="F28" s="30"/>
      <c r="G28" s="30"/>
      <c r="H28" s="30"/>
      <c r="I28" s="42">
        <f t="shared" si="0"/>
        <v>0</v>
      </c>
      <c r="J28" t="s">
        <v>43</v>
      </c>
      <c r="K28" s="38"/>
      <c r="L28"/>
      <c r="M28"/>
      <c r="N28" s="51"/>
      <c r="O28" s="51"/>
      <c r="S28"/>
      <c r="T28"/>
    </row>
    <row r="29" spans="1:20" s="40" customFormat="1" x14ac:dyDescent="0.25">
      <c r="A29" s="22" t="s">
        <v>46</v>
      </c>
      <c r="B29" s="22"/>
      <c r="C29" s="21" t="s">
        <v>19</v>
      </c>
      <c r="D29" s="52"/>
      <c r="E29" s="30"/>
      <c r="F29" s="31">
        <v>1639600</v>
      </c>
      <c r="G29" s="30"/>
      <c r="H29" s="30"/>
      <c r="I29" s="42">
        <f t="shared" si="0"/>
        <v>1639600</v>
      </c>
      <c r="J29" t="s">
        <v>43</v>
      </c>
      <c r="K29" s="24" t="s">
        <v>91</v>
      </c>
      <c r="L29"/>
      <c r="M29"/>
      <c r="N29" s="51"/>
      <c r="O29" s="51"/>
      <c r="S29"/>
      <c r="T29"/>
    </row>
    <row r="30" spans="1:20" s="40" customFormat="1" x14ac:dyDescent="0.25">
      <c r="A30" s="23" t="s">
        <v>46</v>
      </c>
      <c r="B30" s="22" t="s">
        <v>63</v>
      </c>
      <c r="C30" s="22" t="s">
        <v>22</v>
      </c>
      <c r="D30" s="52"/>
      <c r="E30" s="30"/>
      <c r="F30" s="30"/>
      <c r="G30" s="30"/>
      <c r="H30" s="30"/>
      <c r="I30" s="42">
        <f t="shared" si="0"/>
        <v>0</v>
      </c>
      <c r="J30" t="s">
        <v>43</v>
      </c>
      <c r="K30"/>
      <c r="L30"/>
      <c r="M30"/>
      <c r="N30" s="51"/>
      <c r="O30" s="51"/>
      <c r="S30"/>
      <c r="T30"/>
    </row>
    <row r="31" spans="1:20" s="40" customFormat="1" x14ac:dyDescent="0.25">
      <c r="A31" s="23" t="s">
        <v>46</v>
      </c>
      <c r="B31" s="23" t="s">
        <v>46</v>
      </c>
      <c r="C31" s="22" t="s">
        <v>21</v>
      </c>
      <c r="D31" s="52"/>
      <c r="E31" s="30"/>
      <c r="F31" s="30"/>
      <c r="G31" s="30"/>
      <c r="H31" s="30"/>
      <c r="I31" s="42">
        <f t="shared" si="0"/>
        <v>0</v>
      </c>
      <c r="J31" t="s">
        <v>43</v>
      </c>
      <c r="K31"/>
      <c r="L31"/>
      <c r="M31"/>
      <c r="N31" s="51"/>
      <c r="O31" s="51"/>
      <c r="S31"/>
      <c r="T31"/>
    </row>
    <row r="32" spans="1:20" s="40" customFormat="1" x14ac:dyDescent="0.25">
      <c r="A32" s="23" t="s">
        <v>46</v>
      </c>
      <c r="B32" s="22"/>
      <c r="C32" s="21" t="s">
        <v>19</v>
      </c>
      <c r="D32" s="53">
        <v>562700</v>
      </c>
      <c r="E32" s="30"/>
      <c r="F32" s="30"/>
      <c r="G32" s="30"/>
      <c r="H32" s="30"/>
      <c r="I32" s="42">
        <f t="shared" si="0"/>
        <v>562700</v>
      </c>
      <c r="J32" t="s">
        <v>43</v>
      </c>
      <c r="K32" s="24" t="s">
        <v>92</v>
      </c>
      <c r="L32"/>
      <c r="M32"/>
      <c r="N32" s="51"/>
      <c r="O32" s="51"/>
      <c r="S32"/>
      <c r="T32"/>
    </row>
    <row r="33" spans="1:20" s="40" customFormat="1" x14ac:dyDescent="0.25">
      <c r="A33" s="22" t="s">
        <v>41</v>
      </c>
      <c r="B33" s="21" t="s">
        <v>41</v>
      </c>
      <c r="C33" s="22" t="s">
        <v>93</v>
      </c>
      <c r="D33" s="52"/>
      <c r="E33" s="30"/>
      <c r="F33" s="30"/>
      <c r="G33" s="31">
        <v>75000</v>
      </c>
      <c r="H33" s="30"/>
      <c r="I33" s="42">
        <f t="shared" si="0"/>
        <v>75000</v>
      </c>
      <c r="J33"/>
      <c r="K33" s="38" t="s">
        <v>94</v>
      </c>
      <c r="L33"/>
      <c r="M33"/>
      <c r="N33" s="51"/>
      <c r="O33" s="51"/>
      <c r="S33"/>
      <c r="T33"/>
    </row>
    <row r="34" spans="1:20" s="8" customFormat="1" ht="30" x14ac:dyDescent="0.25">
      <c r="A34" s="14" t="s">
        <v>18</v>
      </c>
      <c r="B34" s="14" t="s">
        <v>18</v>
      </c>
      <c r="C34" s="14"/>
      <c r="D34" s="13">
        <v>2706400</v>
      </c>
      <c r="E34" s="28"/>
      <c r="F34" s="29">
        <v>4694800</v>
      </c>
      <c r="G34" s="29">
        <v>2145400</v>
      </c>
      <c r="H34" s="28"/>
      <c r="I34" s="29">
        <f>SUM(D34:H34)</f>
        <v>9546600</v>
      </c>
      <c r="J34" s="10"/>
      <c r="K34" s="27" t="s">
        <v>95</v>
      </c>
      <c r="L34" s="10"/>
      <c r="M34" s="10"/>
      <c r="N34" s="26"/>
      <c r="O34" s="26"/>
      <c r="S34" s="10"/>
      <c r="T34" s="10"/>
    </row>
    <row r="35" spans="1:20" s="40" customFormat="1" x14ac:dyDescent="0.25">
      <c r="B35"/>
      <c r="C35"/>
      <c r="D35" s="1">
        <f t="shared" ref="D35:I35" si="1">SUM(D3:D34)</f>
        <v>5035800</v>
      </c>
      <c r="E35" s="1">
        <f t="shared" si="1"/>
        <v>0</v>
      </c>
      <c r="F35" s="1">
        <f t="shared" si="1"/>
        <v>22282400</v>
      </c>
      <c r="G35" s="1">
        <f t="shared" si="1"/>
        <v>11017700</v>
      </c>
      <c r="H35" s="1">
        <f t="shared" si="1"/>
        <v>0</v>
      </c>
      <c r="I35" s="1">
        <f t="shared" si="1"/>
        <v>38335900</v>
      </c>
      <c r="J35"/>
      <c r="K35"/>
      <c r="L35" s="6">
        <v>38335900</v>
      </c>
      <c r="M35" s="5">
        <f>I35-L35</f>
        <v>0</v>
      </c>
      <c r="N35"/>
      <c r="O35" s="4"/>
      <c r="S35"/>
    </row>
    <row r="36" spans="1:20" s="40" customFormat="1" x14ac:dyDescent="0.25">
      <c r="B36"/>
      <c r="C36"/>
      <c r="D36" s="1"/>
      <c r="E36" s="1"/>
      <c r="F36" s="1"/>
      <c r="G36" s="1"/>
      <c r="H36" s="1"/>
      <c r="I36" s="3"/>
      <c r="J36"/>
      <c r="K36"/>
      <c r="L36" s="6"/>
      <c r="M36" s="25"/>
      <c r="N36"/>
      <c r="O36" s="4"/>
      <c r="S36"/>
    </row>
    <row r="37" spans="1:20" s="40" customFormat="1" x14ac:dyDescent="0.25">
      <c r="B37" s="45" t="s">
        <v>17</v>
      </c>
      <c r="C37" s="45"/>
      <c r="D37" s="44" t="s">
        <v>14</v>
      </c>
      <c r="E37" s="45" t="s">
        <v>72</v>
      </c>
      <c r="F37" s="44" t="s">
        <v>16</v>
      </c>
      <c r="G37" s="44" t="s">
        <v>55</v>
      </c>
      <c r="H37" s="45" t="s">
        <v>13</v>
      </c>
      <c r="I37" s="45" t="s">
        <v>12</v>
      </c>
      <c r="J37"/>
      <c r="K37"/>
      <c r="L37" s="6"/>
      <c r="M37" s="25"/>
      <c r="N37"/>
      <c r="O37" s="4"/>
      <c r="S37"/>
    </row>
    <row r="38" spans="1:20" s="40" customFormat="1" x14ac:dyDescent="0.25">
      <c r="B38" s="43" t="s">
        <v>11</v>
      </c>
      <c r="C38" s="22"/>
      <c r="D38" s="43">
        <f t="shared" ref="D38:G38" si="2">+D35</f>
        <v>5035800</v>
      </c>
      <c r="E38" s="43">
        <f t="shared" si="2"/>
        <v>0</v>
      </c>
      <c r="F38" s="43">
        <f t="shared" si="2"/>
        <v>22282400</v>
      </c>
      <c r="G38" s="43">
        <f t="shared" si="2"/>
        <v>11017700</v>
      </c>
      <c r="H38" s="43">
        <f>+H35</f>
        <v>0</v>
      </c>
      <c r="I38" s="42">
        <f t="shared" ref="I38:I48" si="3">SUM(D38:H38)</f>
        <v>38335900</v>
      </c>
      <c r="J38"/>
      <c r="K38"/>
      <c r="L38" s="6"/>
      <c r="M38" s="25"/>
      <c r="N38"/>
      <c r="O38" s="4"/>
      <c r="S38"/>
    </row>
    <row r="39" spans="1:20" s="40" customFormat="1" x14ac:dyDescent="0.25">
      <c r="B39" s="22" t="s">
        <v>10</v>
      </c>
      <c r="C39" s="22"/>
      <c r="D39" s="43">
        <v>5035800</v>
      </c>
      <c r="E39" s="37"/>
      <c r="F39" s="37">
        <v>22282400</v>
      </c>
      <c r="G39" s="37">
        <v>11017700</v>
      </c>
      <c r="H39" s="42"/>
      <c r="I39" s="42">
        <f t="shared" si="3"/>
        <v>38335900</v>
      </c>
      <c r="J39"/>
      <c r="K39"/>
      <c r="L39" s="6"/>
      <c r="M39" s="25"/>
      <c r="N39"/>
      <c r="O39" s="4"/>
      <c r="S39"/>
    </row>
    <row r="40" spans="1:20" s="40" customFormat="1" x14ac:dyDescent="0.25">
      <c r="B40" s="22" t="s">
        <v>9</v>
      </c>
      <c r="C40" s="22"/>
      <c r="D40" s="43">
        <v>2</v>
      </c>
      <c r="E40" s="37"/>
      <c r="F40" s="37">
        <v>3</v>
      </c>
      <c r="G40" s="37">
        <v>5</v>
      </c>
      <c r="H40" s="42"/>
      <c r="I40" s="42">
        <f t="shared" si="3"/>
        <v>10</v>
      </c>
      <c r="J40"/>
      <c r="K40"/>
      <c r="L40" s="6"/>
      <c r="M40" s="25"/>
      <c r="N40"/>
      <c r="O40" s="4"/>
      <c r="S40"/>
    </row>
    <row r="41" spans="1:20" s="40" customFormat="1" x14ac:dyDescent="0.25">
      <c r="B41" s="22" t="s">
        <v>8</v>
      </c>
      <c r="C41" s="22"/>
      <c r="D41" s="43">
        <f>+D8</f>
        <v>1766700</v>
      </c>
      <c r="E41" s="37">
        <f>SUM(E4:E15)</f>
        <v>0</v>
      </c>
      <c r="F41" s="37">
        <f>SUM(F4:F15)</f>
        <v>7617000</v>
      </c>
      <c r="G41" s="37">
        <f>SUM(G5:G11)</f>
        <v>3000000</v>
      </c>
      <c r="H41" s="42"/>
      <c r="I41" s="42">
        <f t="shared" si="3"/>
        <v>12383700</v>
      </c>
      <c r="J41"/>
      <c r="K41"/>
      <c r="L41" s="6"/>
      <c r="M41" s="25"/>
      <c r="N41"/>
      <c r="O41" s="4"/>
      <c r="S41"/>
    </row>
    <row r="42" spans="1:20" s="40" customFormat="1" x14ac:dyDescent="0.25">
      <c r="B42" s="46" t="s">
        <v>7</v>
      </c>
      <c r="C42" s="22"/>
      <c r="D42" s="43"/>
      <c r="E42" s="37"/>
      <c r="F42" s="37">
        <f>SUM(F21:F23)</f>
        <v>8331000</v>
      </c>
      <c r="G42" s="37">
        <f>+G26</f>
        <v>381200</v>
      </c>
      <c r="H42" s="42"/>
      <c r="I42" s="42">
        <f t="shared" si="3"/>
        <v>8712200</v>
      </c>
      <c r="J42"/>
      <c r="K42"/>
      <c r="L42" s="6"/>
      <c r="M42" s="25"/>
      <c r="N42"/>
      <c r="O42" s="4"/>
      <c r="S42"/>
    </row>
    <row r="43" spans="1:20" s="40" customFormat="1" x14ac:dyDescent="0.25">
      <c r="B43" s="46" t="s">
        <v>40</v>
      </c>
      <c r="C43" s="22"/>
      <c r="D43" s="43">
        <f>+D32</f>
        <v>562700</v>
      </c>
      <c r="E43" s="37">
        <f>SUM(E25:E30)</f>
        <v>0</v>
      </c>
      <c r="F43" s="37">
        <f>+F29</f>
        <v>1639600</v>
      </c>
      <c r="G43" s="37"/>
      <c r="H43" s="42"/>
      <c r="I43" s="42">
        <f t="shared" si="3"/>
        <v>2202300</v>
      </c>
      <c r="J43"/>
      <c r="K43"/>
      <c r="L43" s="6"/>
      <c r="M43" s="25"/>
      <c r="N43"/>
      <c r="O43" s="4"/>
      <c r="S43"/>
    </row>
    <row r="44" spans="1:20" s="40" customFormat="1" x14ac:dyDescent="0.25">
      <c r="B44" s="46" t="s">
        <v>39</v>
      </c>
      <c r="C44" s="22"/>
      <c r="D44" s="43">
        <f>SUM(D16:D18)</f>
        <v>0</v>
      </c>
      <c r="E44" s="37"/>
      <c r="F44" s="37">
        <f>+F24</f>
        <v>0</v>
      </c>
      <c r="G44" s="37">
        <f>SUM(G15:G20)</f>
        <v>5416100</v>
      </c>
      <c r="H44" s="42"/>
      <c r="I44" s="42">
        <f t="shared" si="3"/>
        <v>5416100</v>
      </c>
      <c r="J44"/>
      <c r="K44"/>
      <c r="L44" s="6"/>
      <c r="M44" s="25"/>
      <c r="N44"/>
      <c r="O44" s="4"/>
      <c r="S44"/>
    </row>
    <row r="45" spans="1:20" s="40" customFormat="1" x14ac:dyDescent="0.25">
      <c r="B45" s="46" t="s">
        <v>37</v>
      </c>
      <c r="C45" s="22"/>
      <c r="D45" s="43"/>
      <c r="E45" s="37"/>
      <c r="F45" s="37"/>
      <c r="G45" s="37">
        <f>+G33</f>
        <v>75000</v>
      </c>
      <c r="H45" s="42"/>
      <c r="I45" s="42">
        <f t="shared" si="3"/>
        <v>75000</v>
      </c>
      <c r="J45"/>
      <c r="K45"/>
      <c r="L45" s="6"/>
      <c r="M45" s="25"/>
      <c r="N45"/>
      <c r="O45" s="4"/>
      <c r="S45"/>
    </row>
    <row r="46" spans="1:20" s="40" customFormat="1" x14ac:dyDescent="0.25">
      <c r="B46" s="22" t="s">
        <v>6</v>
      </c>
      <c r="C46" s="22"/>
      <c r="D46" s="43">
        <f>+D34</f>
        <v>2706400</v>
      </c>
      <c r="E46" s="43">
        <f>+E34</f>
        <v>0</v>
      </c>
      <c r="F46" s="43">
        <f>+F34</f>
        <v>4694800</v>
      </c>
      <c r="G46" s="43">
        <f>+G34</f>
        <v>2145400</v>
      </c>
      <c r="H46" s="43">
        <f>+H34</f>
        <v>0</v>
      </c>
      <c r="I46" s="42">
        <f t="shared" si="3"/>
        <v>9546600</v>
      </c>
      <c r="J46"/>
      <c r="K46"/>
      <c r="L46" s="6"/>
      <c r="M46" s="25"/>
      <c r="N46"/>
      <c r="O46" s="4"/>
      <c r="S46"/>
    </row>
    <row r="47" spans="1:20" s="40" customFormat="1" x14ac:dyDescent="0.25">
      <c r="B47" s="22" t="s">
        <v>5</v>
      </c>
      <c r="C47" s="22"/>
      <c r="D47" s="43">
        <f>SUM(D41:D46)</f>
        <v>5035800</v>
      </c>
      <c r="E47" s="43">
        <f>SUM(E41:E46)</f>
        <v>0</v>
      </c>
      <c r="F47" s="43">
        <f>SUM(F41:F46)</f>
        <v>22282400</v>
      </c>
      <c r="G47" s="43">
        <f>SUM(G41:G46)</f>
        <v>11017700</v>
      </c>
      <c r="H47" s="43">
        <f>SUM(H41:H46)</f>
        <v>0</v>
      </c>
      <c r="I47" s="42">
        <f t="shared" si="3"/>
        <v>38335900</v>
      </c>
      <c r="J47"/>
      <c r="K47"/>
      <c r="L47" s="51"/>
      <c r="M47" s="25"/>
      <c r="N47"/>
      <c r="O47" s="4"/>
      <c r="S47"/>
    </row>
    <row r="48" spans="1:20" s="40" customFormat="1" x14ac:dyDescent="0.25">
      <c r="B48" s="22" t="s">
        <v>4</v>
      </c>
      <c r="C48" s="22"/>
      <c r="D48" s="43">
        <f>D39-D47</f>
        <v>0</v>
      </c>
      <c r="E48" s="43">
        <f>E39-E47</f>
        <v>0</v>
      </c>
      <c r="F48" s="43">
        <f>F39-F47</f>
        <v>0</v>
      </c>
      <c r="G48" s="43">
        <f>G39-G47</f>
        <v>0</v>
      </c>
      <c r="H48" s="43">
        <f>H39-H47</f>
        <v>0</v>
      </c>
      <c r="I48" s="42">
        <f t="shared" si="3"/>
        <v>0</v>
      </c>
      <c r="J48"/>
      <c r="K48"/>
      <c r="L48" s="51"/>
      <c r="M48" s="25"/>
      <c r="N48" s="4"/>
      <c r="O48" s="4"/>
      <c r="S48"/>
    </row>
    <row r="49" spans="1:19" s="40" customFormat="1" x14ac:dyDescent="0.25">
      <c r="B49" s="18" t="s">
        <v>3</v>
      </c>
      <c r="C49" s="36"/>
      <c r="D49" s="35">
        <v>13</v>
      </c>
      <c r="E49" s="36"/>
      <c r="F49" s="35">
        <v>10</v>
      </c>
      <c r="G49" s="35">
        <v>19</v>
      </c>
      <c r="H49" s="36"/>
      <c r="I49" s="42">
        <f>SUM(D49:H49)</f>
        <v>42</v>
      </c>
      <c r="J49"/>
      <c r="K49"/>
      <c r="L49"/>
      <c r="M49"/>
      <c r="N49"/>
      <c r="O49"/>
      <c r="S49"/>
    </row>
    <row r="50" spans="1:19" s="40" customFormat="1" x14ac:dyDescent="0.25">
      <c r="B50"/>
      <c r="C50"/>
      <c r="H50" s="41"/>
      <c r="I50" s="41"/>
      <c r="J50"/>
      <c r="K50"/>
      <c r="L50"/>
      <c r="M50"/>
      <c r="N50" s="4"/>
      <c r="O50"/>
      <c r="S50"/>
    </row>
    <row r="51" spans="1:19" s="40" customFormat="1" x14ac:dyDescent="0.25">
      <c r="B51" t="s">
        <v>1</v>
      </c>
      <c r="C51"/>
      <c r="H51" s="41"/>
      <c r="I51"/>
      <c r="J51" s="4"/>
      <c r="K51" s="4"/>
      <c r="L51"/>
      <c r="M51"/>
      <c r="N51" s="4"/>
      <c r="O51" s="4"/>
      <c r="S51"/>
    </row>
    <row r="52" spans="1:19" s="40" customFormat="1" x14ac:dyDescent="0.25">
      <c r="B52" t="s">
        <v>0</v>
      </c>
      <c r="C52"/>
      <c r="H52" s="41"/>
      <c r="I52"/>
      <c r="J52"/>
      <c r="K52"/>
      <c r="L52"/>
      <c r="M52"/>
      <c r="N52" s="6"/>
      <c r="O52" s="4"/>
      <c r="S52"/>
    </row>
    <row r="53" spans="1:19" s="40" customFormat="1" x14ac:dyDescent="0.25">
      <c r="B53"/>
      <c r="C53"/>
      <c r="E53"/>
      <c r="F53"/>
      <c r="G53"/>
      <c r="H53" s="41">
        <f>SUM(D53:G53)</f>
        <v>0</v>
      </c>
      <c r="I53"/>
      <c r="J53"/>
      <c r="K53"/>
      <c r="L53"/>
      <c r="M53"/>
      <c r="N53" s="6"/>
      <c r="O53" s="4"/>
      <c r="S53"/>
    </row>
    <row r="54" spans="1:19" s="40" customFormat="1" x14ac:dyDescent="0.25">
      <c r="B54"/>
      <c r="C54"/>
      <c r="F54"/>
      <c r="G54"/>
      <c r="H54"/>
      <c r="I54"/>
      <c r="J54"/>
      <c r="K54"/>
      <c r="L54"/>
      <c r="M54"/>
      <c r="N54" s="6"/>
      <c r="O54" s="4"/>
      <c r="S54"/>
    </row>
    <row r="55" spans="1:19" s="40" customFormat="1" x14ac:dyDescent="0.25">
      <c r="B55"/>
      <c r="C55"/>
      <c r="F55" s="2" t="s">
        <v>96</v>
      </c>
      <c r="G55"/>
      <c r="H55"/>
      <c r="I55"/>
      <c r="J55"/>
      <c r="K55"/>
      <c r="L55"/>
      <c r="M55"/>
      <c r="N55" s="6"/>
      <c r="O55" s="4"/>
      <c r="S55"/>
    </row>
    <row r="56" spans="1:19" s="40" customFormat="1" x14ac:dyDescent="0.25">
      <c r="B56" s="45" t="s">
        <v>36</v>
      </c>
      <c r="C56" s="45" t="s">
        <v>35</v>
      </c>
      <c r="D56" s="44" t="s">
        <v>34</v>
      </c>
      <c r="E56" s="44" t="s">
        <v>59</v>
      </c>
      <c r="F56" s="54" t="s">
        <v>33</v>
      </c>
      <c r="G56" s="54" t="s">
        <v>32</v>
      </c>
      <c r="H56" s="44" t="s">
        <v>31</v>
      </c>
      <c r="I56" s="34" t="s">
        <v>30</v>
      </c>
      <c r="J56" s="34" t="s">
        <v>29</v>
      </c>
      <c r="K56" s="34" t="s">
        <v>28</v>
      </c>
      <c r="L56" s="34" t="s">
        <v>27</v>
      </c>
      <c r="M56" s="34" t="s">
        <v>4</v>
      </c>
      <c r="N56" s="2"/>
      <c r="O56" s="4"/>
      <c r="S56"/>
    </row>
    <row r="57" spans="1:19" s="40" customFormat="1" x14ac:dyDescent="0.25">
      <c r="A57" s="23" t="s">
        <v>69</v>
      </c>
      <c r="B57" s="22" t="s">
        <v>70</v>
      </c>
      <c r="C57" s="21" t="s">
        <v>22</v>
      </c>
      <c r="D57" s="42"/>
      <c r="E57" s="42"/>
      <c r="F57" s="43"/>
      <c r="G57" s="48">
        <v>2120000</v>
      </c>
      <c r="H57" s="42"/>
      <c r="I57" s="42">
        <f>SUM(D57:H57)</f>
        <v>2120000</v>
      </c>
      <c r="J57" t="s">
        <v>68</v>
      </c>
      <c r="K57" s="24" t="s">
        <v>97</v>
      </c>
      <c r="L57"/>
      <c r="M57"/>
      <c r="N57" s="6"/>
      <c r="O57" s="4"/>
      <c r="S57"/>
    </row>
    <row r="58" spans="1:19" s="40" customFormat="1" x14ac:dyDescent="0.25">
      <c r="A58" s="23" t="s">
        <v>69</v>
      </c>
      <c r="B58" s="23" t="s">
        <v>69</v>
      </c>
      <c r="C58" s="22" t="s">
        <v>21</v>
      </c>
      <c r="D58" s="42"/>
      <c r="E58" s="42"/>
      <c r="F58" s="43"/>
      <c r="G58" s="47"/>
      <c r="H58" s="42"/>
      <c r="I58" s="42">
        <f t="shared" ref="I58:I64" si="4">SUM(D58:H58)</f>
        <v>0</v>
      </c>
      <c r="J58" t="s">
        <v>68</v>
      </c>
      <c r="K58"/>
      <c r="L58"/>
      <c r="M58"/>
      <c r="N58" s="6"/>
      <c r="O58" s="4"/>
      <c r="S58"/>
    </row>
    <row r="59" spans="1:19" s="40" customFormat="1" x14ac:dyDescent="0.25">
      <c r="A59" s="23" t="s">
        <v>69</v>
      </c>
      <c r="B59" s="22"/>
      <c r="C59" s="22" t="s">
        <v>19</v>
      </c>
      <c r="D59" s="42"/>
      <c r="E59" s="42"/>
      <c r="F59" s="43"/>
      <c r="G59" s="47"/>
      <c r="H59" s="42"/>
      <c r="I59" s="42">
        <f t="shared" si="4"/>
        <v>0</v>
      </c>
      <c r="J59" t="s">
        <v>68</v>
      </c>
      <c r="L59"/>
      <c r="M59"/>
      <c r="N59"/>
      <c r="O59" s="4"/>
      <c r="S59"/>
    </row>
    <row r="60" spans="1:19" s="40" customFormat="1" x14ac:dyDescent="0.25">
      <c r="A60" s="23" t="s">
        <v>25</v>
      </c>
      <c r="B60" s="22" t="s">
        <v>26</v>
      </c>
      <c r="C60" s="21" t="s">
        <v>22</v>
      </c>
      <c r="D60" s="48">
        <v>1470000</v>
      </c>
      <c r="E60" s="42"/>
      <c r="F60" s="43"/>
      <c r="G60" s="47"/>
      <c r="H60" s="42"/>
      <c r="I60" s="42">
        <f t="shared" si="4"/>
        <v>1470000</v>
      </c>
      <c r="J60" s="40" t="s">
        <v>24</v>
      </c>
      <c r="K60" s="50" t="s">
        <v>98</v>
      </c>
      <c r="L60"/>
      <c r="M60"/>
      <c r="N60"/>
      <c r="O60" s="4"/>
      <c r="S60"/>
    </row>
    <row r="61" spans="1:19" s="40" customFormat="1" x14ac:dyDescent="0.25">
      <c r="A61" s="23" t="s">
        <v>25</v>
      </c>
      <c r="B61" s="23" t="s">
        <v>25</v>
      </c>
      <c r="C61" s="22" t="s">
        <v>21</v>
      </c>
      <c r="D61" s="42"/>
      <c r="E61" s="42"/>
      <c r="F61" s="43"/>
      <c r="G61" s="47"/>
      <c r="H61" s="42"/>
      <c r="I61" s="42">
        <f t="shared" si="4"/>
        <v>0</v>
      </c>
      <c r="J61" s="40" t="s">
        <v>24</v>
      </c>
      <c r="L61"/>
      <c r="M61"/>
      <c r="N61"/>
      <c r="O61" s="4"/>
      <c r="S61"/>
    </row>
    <row r="62" spans="1:19" s="40" customFormat="1" x14ac:dyDescent="0.25">
      <c r="A62" s="23" t="s">
        <v>25</v>
      </c>
      <c r="B62" s="22"/>
      <c r="C62" s="22" t="s">
        <v>19</v>
      </c>
      <c r="D62" s="42"/>
      <c r="E62" s="42"/>
      <c r="F62" s="43"/>
      <c r="G62" s="47"/>
      <c r="H62" s="42"/>
      <c r="I62" s="42">
        <f t="shared" si="4"/>
        <v>0</v>
      </c>
      <c r="J62" s="40" t="s">
        <v>24</v>
      </c>
      <c r="L62"/>
      <c r="M62"/>
      <c r="N62"/>
      <c r="O62" s="4"/>
      <c r="S62"/>
    </row>
    <row r="63" spans="1:19" s="40" customFormat="1" x14ac:dyDescent="0.25">
      <c r="A63" s="22" t="s">
        <v>18</v>
      </c>
      <c r="B63" s="22" t="s">
        <v>18</v>
      </c>
      <c r="C63" s="22"/>
      <c r="D63" s="48">
        <v>2740000</v>
      </c>
      <c r="E63" s="42"/>
      <c r="F63" s="43"/>
      <c r="G63" s="48">
        <v>420000</v>
      </c>
      <c r="H63" s="42"/>
      <c r="I63" s="48">
        <f t="shared" si="4"/>
        <v>3160000</v>
      </c>
      <c r="J63" s="16"/>
      <c r="K63" s="76" t="s">
        <v>99</v>
      </c>
      <c r="L63"/>
      <c r="M63"/>
      <c r="N63"/>
      <c r="O63" s="4"/>
      <c r="S63"/>
    </row>
    <row r="64" spans="1:19" s="40" customFormat="1" x14ac:dyDescent="0.25">
      <c r="B64" s="16"/>
      <c r="C64" s="16"/>
      <c r="D64" s="41">
        <f>SUM(D57:D63)</f>
        <v>4210000</v>
      </c>
      <c r="E64" s="41">
        <f>SUM(E57:E63)</f>
        <v>0</v>
      </c>
      <c r="F64" s="41">
        <f>SUM(F57:F63)</f>
        <v>0</v>
      </c>
      <c r="G64" s="41">
        <f>SUM(G57:G63)</f>
        <v>2540000</v>
      </c>
      <c r="H64" s="41"/>
      <c r="I64" s="42">
        <f t="shared" si="4"/>
        <v>6750000</v>
      </c>
      <c r="J64" s="16"/>
      <c r="K64" s="16"/>
      <c r="L64" s="82">
        <v>7740000</v>
      </c>
      <c r="M64" s="5">
        <f>I64-L64</f>
        <v>-990000</v>
      </c>
      <c r="N64"/>
      <c r="O64" s="4"/>
      <c r="S64"/>
    </row>
    <row r="65" spans="2:20" s="40" customFormat="1" x14ac:dyDescent="0.25">
      <c r="B65"/>
      <c r="C65"/>
      <c r="I65"/>
      <c r="J65"/>
      <c r="K65"/>
      <c r="L65"/>
      <c r="M65" s="4"/>
      <c r="N65"/>
      <c r="O65" s="4"/>
    </row>
    <row r="66" spans="2:20" s="40" customFormat="1" x14ac:dyDescent="0.25">
      <c r="B66" s="2" t="s">
        <v>57</v>
      </c>
      <c r="C66"/>
      <c r="I66"/>
      <c r="J66"/>
      <c r="K66"/>
      <c r="L66"/>
      <c r="M66" s="4"/>
      <c r="N66"/>
      <c r="O66" s="4"/>
    </row>
    <row r="67" spans="2:20" s="40" customFormat="1" x14ac:dyDescent="0.25">
      <c r="B67" t="s">
        <v>100</v>
      </c>
      <c r="C67"/>
      <c r="I67"/>
      <c r="J67"/>
      <c r="K67"/>
      <c r="L67"/>
      <c r="M67" s="4"/>
      <c r="N67"/>
      <c r="O67" s="4"/>
    </row>
    <row r="68" spans="2:20" s="40" customFormat="1" x14ac:dyDescent="0.25">
      <c r="B68"/>
      <c r="C68"/>
      <c r="I68"/>
      <c r="J68"/>
      <c r="K68"/>
      <c r="L68"/>
      <c r="M68" s="4"/>
      <c r="N68"/>
      <c r="O68" s="4"/>
    </row>
    <row r="69" spans="2:20" s="40" customFormat="1" x14ac:dyDescent="0.25">
      <c r="B69"/>
      <c r="C69"/>
      <c r="I69"/>
      <c r="J69"/>
      <c r="K69"/>
      <c r="L69"/>
      <c r="M69" s="4"/>
      <c r="N69"/>
      <c r="O69" s="4"/>
    </row>
    <row r="70" spans="2:20" s="40" customFormat="1" x14ac:dyDescent="0.25">
      <c r="B70"/>
      <c r="C70"/>
      <c r="I70" s="4"/>
      <c r="J70"/>
      <c r="K70"/>
      <c r="L70"/>
      <c r="M70" s="4"/>
      <c r="N70"/>
      <c r="O70"/>
    </row>
    <row r="71" spans="2:20" s="40" customFormat="1" x14ac:dyDescent="0.25">
      <c r="B71" s="45" t="s">
        <v>17</v>
      </c>
      <c r="C71" s="45"/>
      <c r="D71" s="44" t="s">
        <v>14</v>
      </c>
      <c r="E71" s="44" t="s">
        <v>72</v>
      </c>
      <c r="F71" s="44" t="s">
        <v>16</v>
      </c>
      <c r="G71" s="44" t="s">
        <v>55</v>
      </c>
      <c r="H71" s="44" t="s">
        <v>13</v>
      </c>
      <c r="I71" s="44" t="s">
        <v>12</v>
      </c>
      <c r="J71"/>
      <c r="K71"/>
      <c r="L71"/>
      <c r="M71"/>
      <c r="N71"/>
      <c r="O71"/>
    </row>
    <row r="72" spans="2:20" s="40" customFormat="1" x14ac:dyDescent="0.25">
      <c r="B72" s="22" t="s">
        <v>11</v>
      </c>
      <c r="C72" s="22"/>
      <c r="D72" s="43">
        <f>+D64</f>
        <v>4210000</v>
      </c>
      <c r="E72" s="43">
        <f t="shared" ref="E72:H72" si="5">+E64</f>
        <v>0</v>
      </c>
      <c r="F72" s="43">
        <f t="shared" si="5"/>
        <v>0</v>
      </c>
      <c r="G72" s="43">
        <f t="shared" si="5"/>
        <v>2540000</v>
      </c>
      <c r="H72" s="43">
        <f t="shared" si="5"/>
        <v>0</v>
      </c>
      <c r="I72" s="42">
        <f t="shared" ref="I72:I77" si="6">SUM(D72:H72)</f>
        <v>6750000</v>
      </c>
      <c r="J72"/>
      <c r="K72"/>
      <c r="L72"/>
      <c r="M72"/>
      <c r="N72"/>
      <c r="O72"/>
      <c r="S72"/>
      <c r="T72"/>
    </row>
    <row r="73" spans="2:20" x14ac:dyDescent="0.25">
      <c r="B73" s="22" t="s">
        <v>10</v>
      </c>
      <c r="C73" s="22"/>
      <c r="D73" s="43">
        <v>4550000</v>
      </c>
      <c r="E73" s="37"/>
      <c r="F73" s="37"/>
      <c r="G73" s="37">
        <v>3190000</v>
      </c>
      <c r="H73" s="42"/>
      <c r="I73" s="42">
        <f t="shared" si="6"/>
        <v>7740000</v>
      </c>
    </row>
    <row r="74" spans="2:20" x14ac:dyDescent="0.25">
      <c r="B74" s="22" t="s">
        <v>9</v>
      </c>
      <c r="C74" s="22"/>
      <c r="D74" s="43">
        <v>1</v>
      </c>
      <c r="E74" s="37"/>
      <c r="F74" s="37"/>
      <c r="G74" s="37">
        <v>1</v>
      </c>
      <c r="H74" s="42"/>
      <c r="I74" s="42">
        <f t="shared" si="6"/>
        <v>2</v>
      </c>
    </row>
    <row r="75" spans="2:20" x14ac:dyDescent="0.25">
      <c r="B75" s="22" t="s">
        <v>7</v>
      </c>
      <c r="C75" s="22"/>
      <c r="D75" s="43">
        <f>+D60</f>
        <v>1470000</v>
      </c>
      <c r="E75" s="37"/>
      <c r="F75" s="37"/>
      <c r="G75" s="37"/>
      <c r="H75" s="42"/>
      <c r="I75" s="42">
        <f t="shared" si="6"/>
        <v>1470000</v>
      </c>
    </row>
    <row r="76" spans="2:20" x14ac:dyDescent="0.25">
      <c r="B76" s="22" t="s">
        <v>6</v>
      </c>
      <c r="C76" s="22"/>
      <c r="D76" s="43">
        <f>+D63</f>
        <v>2740000</v>
      </c>
      <c r="E76" s="43">
        <f t="shared" ref="E76:H76" si="7">+E63</f>
        <v>0</v>
      </c>
      <c r="F76" s="43">
        <f t="shared" si="7"/>
        <v>0</v>
      </c>
      <c r="G76" s="43">
        <f t="shared" si="7"/>
        <v>420000</v>
      </c>
      <c r="H76" s="43">
        <f t="shared" si="7"/>
        <v>0</v>
      </c>
      <c r="I76" s="42">
        <f t="shared" si="6"/>
        <v>3160000</v>
      </c>
    </row>
    <row r="77" spans="2:20" x14ac:dyDescent="0.25">
      <c r="B77" s="22" t="s">
        <v>5</v>
      </c>
      <c r="C77" s="22"/>
      <c r="D77" s="43">
        <f>SUM(D75:D76)</f>
        <v>4210000</v>
      </c>
      <c r="E77" s="37"/>
      <c r="F77" s="37"/>
      <c r="G77" s="37"/>
      <c r="H77" s="42"/>
      <c r="I77" s="42">
        <f t="shared" si="6"/>
        <v>4210000</v>
      </c>
    </row>
    <row r="78" spans="2:20" x14ac:dyDescent="0.25">
      <c r="B78" s="22" t="s">
        <v>4</v>
      </c>
      <c r="C78" s="22"/>
      <c r="D78" s="43">
        <f>D73-D77</f>
        <v>340000</v>
      </c>
      <c r="E78" s="43">
        <f>E73-E77</f>
        <v>0</v>
      </c>
      <c r="F78" s="43">
        <f>F73-F77</f>
        <v>0</v>
      </c>
      <c r="G78" s="43">
        <f>G73-G77</f>
        <v>3190000</v>
      </c>
      <c r="H78" s="43">
        <f>H73-H77</f>
        <v>0</v>
      </c>
      <c r="I78" s="42">
        <f>SUM(D78:H78)</f>
        <v>3530000</v>
      </c>
    </row>
    <row r="79" spans="2:20" x14ac:dyDescent="0.25">
      <c r="B79" s="22" t="s">
        <v>3</v>
      </c>
      <c r="C79" s="22"/>
      <c r="D79" s="43">
        <v>5</v>
      </c>
      <c r="E79" s="43"/>
      <c r="F79" s="43"/>
      <c r="G79" s="43">
        <v>3</v>
      </c>
      <c r="H79" s="42"/>
      <c r="I79" s="42">
        <f>SUM(D79:H79)</f>
        <v>8</v>
      </c>
    </row>
    <row r="80" spans="2:20" x14ac:dyDescent="0.25">
      <c r="H80" s="41"/>
    </row>
    <row r="81" spans="2:9" x14ac:dyDescent="0.25">
      <c r="E81"/>
      <c r="F81"/>
      <c r="G81"/>
      <c r="H81" s="41">
        <f>SUM(D81:G81)</f>
        <v>0</v>
      </c>
    </row>
    <row r="82" spans="2:9" x14ac:dyDescent="0.25">
      <c r="B82" t="s">
        <v>2</v>
      </c>
    </row>
    <row r="83" spans="2:9" x14ac:dyDescent="0.25">
      <c r="B83" t="s">
        <v>1</v>
      </c>
    </row>
    <row r="84" spans="2:9" x14ac:dyDescent="0.25">
      <c r="B84" t="s">
        <v>0</v>
      </c>
      <c r="I84" s="83">
        <f>+I64+I35</f>
        <v>45085900</v>
      </c>
    </row>
  </sheetData>
  <autoFilter ref="I1:I86" xr:uid="{C5FCF5C1-9F9D-4B2D-AD20-76DC006835CF}"/>
  <pageMargins left="0.7" right="0.7" top="0.75" bottom="0.75" header="0.3" footer="0.3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B84E4-F2DE-4397-9DC9-7CF37DEE0914}">
  <dimension ref="A1:T69"/>
  <sheetViews>
    <sheetView workbookViewId="0">
      <pane xSplit="3" ySplit="2" topLeftCell="D3" activePane="bottomRight" state="frozen"/>
      <selection activeCell="B67" sqref="B67"/>
      <selection pane="topRight" activeCell="B67" sqref="B67"/>
      <selection pane="bottomLeft" activeCell="B67" sqref="B67"/>
      <selection pane="bottomRight" activeCell="B67" sqref="B67"/>
    </sheetView>
  </sheetViews>
  <sheetFormatPr defaultRowHeight="15" x14ac:dyDescent="0.25"/>
  <cols>
    <col min="2" max="2" width="32.42578125" customWidth="1"/>
    <col min="3" max="3" width="18" customWidth="1"/>
    <col min="4" max="8" width="14" style="40" customWidth="1"/>
    <col min="9" max="9" width="12.5703125" bestFit="1" customWidth="1"/>
    <col min="10" max="10" width="2.7109375" customWidth="1"/>
    <col min="11" max="11" width="45.42578125" customWidth="1"/>
    <col min="12" max="12" width="16.28515625" bestFit="1" customWidth="1"/>
    <col min="13" max="13" width="15" customWidth="1"/>
    <col min="14" max="15" width="14.28515625" bestFit="1" customWidth="1"/>
    <col min="16" max="16" width="14.28515625" style="40" bestFit="1" customWidth="1"/>
    <col min="17" max="17" width="14.28515625" style="40" customWidth="1"/>
    <col min="18" max="18" width="11.28515625" style="40" bestFit="1" customWidth="1"/>
  </cols>
  <sheetData>
    <row r="1" spans="1:20" x14ac:dyDescent="0.25">
      <c r="E1" s="55" t="s">
        <v>101</v>
      </c>
    </row>
    <row r="2" spans="1:20" x14ac:dyDescent="0.25">
      <c r="B2" s="45" t="s">
        <v>36</v>
      </c>
      <c r="C2" s="45" t="s">
        <v>35</v>
      </c>
      <c r="D2" s="44" t="s">
        <v>34</v>
      </c>
      <c r="E2" s="44" t="s">
        <v>59</v>
      </c>
      <c r="F2" s="54" t="s">
        <v>33</v>
      </c>
      <c r="G2" s="54" t="s">
        <v>32</v>
      </c>
      <c r="H2" s="44" t="s">
        <v>31</v>
      </c>
      <c r="I2" s="34" t="s">
        <v>30</v>
      </c>
      <c r="J2" s="34" t="s">
        <v>29</v>
      </c>
      <c r="K2" s="34" t="s">
        <v>28</v>
      </c>
      <c r="L2" s="34" t="s">
        <v>27</v>
      </c>
      <c r="M2" s="34" t="s">
        <v>4</v>
      </c>
    </row>
    <row r="3" spans="1:20" s="40" customFormat="1" x14ac:dyDescent="0.25">
      <c r="A3" s="23"/>
      <c r="B3" s="22" t="s">
        <v>73</v>
      </c>
      <c r="C3" s="22" t="s">
        <v>22</v>
      </c>
      <c r="D3" s="52"/>
      <c r="E3" s="52"/>
      <c r="F3" s="52"/>
      <c r="G3" s="30"/>
      <c r="H3" s="52"/>
      <c r="I3" s="42">
        <f t="shared" ref="I3:I17" si="0">SUM(D3:H3)</f>
        <v>0</v>
      </c>
      <c r="J3" t="s">
        <v>43</v>
      </c>
      <c r="K3"/>
      <c r="L3"/>
      <c r="M3"/>
      <c r="N3" s="51"/>
      <c r="O3" s="51"/>
      <c r="S3"/>
      <c r="T3"/>
    </row>
    <row r="4" spans="1:20" s="40" customFormat="1" x14ac:dyDescent="0.25">
      <c r="A4" s="23"/>
      <c r="B4" s="23" t="s">
        <v>52</v>
      </c>
      <c r="C4" s="22" t="s">
        <v>21</v>
      </c>
      <c r="D4" s="52"/>
      <c r="E4" s="52"/>
      <c r="F4" s="52"/>
      <c r="G4" s="30"/>
      <c r="H4" s="52"/>
      <c r="I4" s="42">
        <f t="shared" si="0"/>
        <v>0</v>
      </c>
      <c r="J4" t="s">
        <v>43</v>
      </c>
      <c r="K4"/>
      <c r="L4"/>
      <c r="M4"/>
      <c r="N4" s="51"/>
      <c r="O4" s="51"/>
      <c r="S4"/>
      <c r="T4"/>
    </row>
    <row r="5" spans="1:20" s="40" customFormat="1" x14ac:dyDescent="0.25">
      <c r="A5" s="23"/>
      <c r="B5" s="22"/>
      <c r="C5" s="22" t="s">
        <v>19</v>
      </c>
      <c r="D5" s="52"/>
      <c r="E5" s="52"/>
      <c r="F5" s="52"/>
      <c r="G5" s="30"/>
      <c r="H5" s="52"/>
      <c r="I5" s="42">
        <f t="shared" si="0"/>
        <v>0</v>
      </c>
      <c r="J5" t="s">
        <v>43</v>
      </c>
      <c r="K5"/>
      <c r="L5"/>
      <c r="M5"/>
      <c r="N5" s="51"/>
      <c r="O5" s="51"/>
      <c r="S5"/>
      <c r="T5"/>
    </row>
    <row r="6" spans="1:20" s="40" customFormat="1" x14ac:dyDescent="0.25">
      <c r="A6" s="23" t="s">
        <v>51</v>
      </c>
      <c r="B6" s="22" t="s">
        <v>53</v>
      </c>
      <c r="C6" s="21" t="s">
        <v>22</v>
      </c>
      <c r="D6" s="53">
        <v>100000</v>
      </c>
      <c r="E6" s="52"/>
      <c r="F6" s="52"/>
      <c r="G6" s="30"/>
      <c r="H6" s="52"/>
      <c r="I6" s="42">
        <f t="shared" si="0"/>
        <v>100000</v>
      </c>
      <c r="J6" t="s">
        <v>43</v>
      </c>
      <c r="K6" s="24" t="s">
        <v>102</v>
      </c>
      <c r="L6"/>
      <c r="M6"/>
      <c r="N6" s="51"/>
      <c r="O6" s="51"/>
      <c r="S6"/>
      <c r="T6"/>
    </row>
    <row r="7" spans="1:20" s="40" customFormat="1" x14ac:dyDescent="0.25">
      <c r="A7" s="23" t="s">
        <v>51</v>
      </c>
      <c r="B7" s="23" t="s">
        <v>51</v>
      </c>
      <c r="C7" s="22" t="s">
        <v>21</v>
      </c>
      <c r="D7" s="52"/>
      <c r="E7" s="52"/>
      <c r="F7" s="52"/>
      <c r="G7" s="30"/>
      <c r="H7" s="52"/>
      <c r="I7" s="42">
        <f t="shared" si="0"/>
        <v>0</v>
      </c>
      <c r="J7" t="s">
        <v>43</v>
      </c>
      <c r="K7"/>
      <c r="L7"/>
      <c r="M7"/>
      <c r="N7" s="51"/>
      <c r="O7" s="51"/>
      <c r="S7"/>
      <c r="T7"/>
    </row>
    <row r="8" spans="1:20" s="40" customFormat="1" x14ac:dyDescent="0.25">
      <c r="A8" s="23" t="s">
        <v>51</v>
      </c>
      <c r="B8" s="22"/>
      <c r="C8" s="22" t="s">
        <v>19</v>
      </c>
      <c r="D8" s="52"/>
      <c r="E8" s="52"/>
      <c r="F8" s="52"/>
      <c r="G8" s="30"/>
      <c r="H8" s="52"/>
      <c r="I8" s="42">
        <f t="shared" si="0"/>
        <v>0</v>
      </c>
      <c r="J8" t="s">
        <v>43</v>
      </c>
      <c r="K8"/>
      <c r="L8"/>
      <c r="M8"/>
      <c r="N8" s="51"/>
      <c r="O8" s="51"/>
      <c r="S8"/>
      <c r="T8"/>
    </row>
    <row r="9" spans="1:20" s="40" customFormat="1" x14ac:dyDescent="0.25">
      <c r="A9" s="23" t="s">
        <v>42</v>
      </c>
      <c r="B9" s="22" t="s">
        <v>48</v>
      </c>
      <c r="C9" s="22" t="s">
        <v>22</v>
      </c>
      <c r="D9" s="52"/>
      <c r="E9" s="52"/>
      <c r="F9" s="52"/>
      <c r="G9" s="30"/>
      <c r="H9" s="52"/>
      <c r="I9" s="42">
        <f t="shared" si="0"/>
        <v>0</v>
      </c>
      <c r="J9" t="s">
        <v>43</v>
      </c>
      <c r="K9"/>
      <c r="L9"/>
      <c r="M9"/>
      <c r="N9" s="51"/>
      <c r="O9" s="51"/>
      <c r="S9"/>
      <c r="T9"/>
    </row>
    <row r="10" spans="1:20" s="40" customFormat="1" x14ac:dyDescent="0.25">
      <c r="A10" s="23" t="s">
        <v>42</v>
      </c>
      <c r="B10" s="23" t="s">
        <v>42</v>
      </c>
      <c r="C10" s="22" t="s">
        <v>21</v>
      </c>
      <c r="D10" s="52"/>
      <c r="E10" s="52"/>
      <c r="F10" s="52"/>
      <c r="G10" s="30"/>
      <c r="H10" s="52"/>
      <c r="I10" s="42">
        <f t="shared" si="0"/>
        <v>0</v>
      </c>
      <c r="J10" t="s">
        <v>43</v>
      </c>
      <c r="K10"/>
      <c r="L10"/>
      <c r="M10"/>
      <c r="N10" s="51"/>
      <c r="O10" s="51"/>
      <c r="S10"/>
      <c r="T10"/>
    </row>
    <row r="11" spans="1:20" s="40" customFormat="1" x14ac:dyDescent="0.25">
      <c r="A11" s="23" t="s">
        <v>42</v>
      </c>
      <c r="B11" s="22"/>
      <c r="C11" s="21" t="s">
        <v>19</v>
      </c>
      <c r="D11" s="86">
        <v>1095100</v>
      </c>
      <c r="E11" s="52"/>
      <c r="F11" s="52"/>
      <c r="G11" s="30"/>
      <c r="H11" s="52"/>
      <c r="I11" s="42">
        <f t="shared" si="0"/>
        <v>1095100</v>
      </c>
      <c r="J11" t="s">
        <v>43</v>
      </c>
      <c r="K11" s="24" t="s">
        <v>103</v>
      </c>
      <c r="L11"/>
      <c r="M11"/>
      <c r="N11" s="51"/>
      <c r="O11" s="51"/>
      <c r="S11"/>
      <c r="T11"/>
    </row>
    <row r="12" spans="1:20" s="40" customFormat="1" ht="14.25" customHeight="1" x14ac:dyDescent="0.25">
      <c r="A12" s="23" t="s">
        <v>46</v>
      </c>
      <c r="B12" s="22" t="s">
        <v>47</v>
      </c>
      <c r="C12" s="22" t="s">
        <v>22</v>
      </c>
      <c r="D12" s="52"/>
      <c r="E12" s="30"/>
      <c r="F12" s="30"/>
      <c r="G12" s="30"/>
      <c r="H12" s="30"/>
      <c r="I12" s="42">
        <f t="shared" si="0"/>
        <v>0</v>
      </c>
      <c r="J12" t="s">
        <v>43</v>
      </c>
      <c r="K12"/>
      <c r="L12"/>
      <c r="M12"/>
      <c r="N12" s="51"/>
      <c r="O12" s="51"/>
      <c r="S12"/>
      <c r="T12"/>
    </row>
    <row r="13" spans="1:20" s="40" customFormat="1" x14ac:dyDescent="0.25">
      <c r="A13" s="23" t="s">
        <v>46</v>
      </c>
      <c r="B13" s="23" t="s">
        <v>46</v>
      </c>
      <c r="C13" s="22" t="s">
        <v>21</v>
      </c>
      <c r="D13" s="52"/>
      <c r="E13" s="30"/>
      <c r="F13" s="30"/>
      <c r="G13" s="30"/>
      <c r="H13" s="30"/>
      <c r="I13" s="42">
        <f t="shared" si="0"/>
        <v>0</v>
      </c>
      <c r="J13" t="s">
        <v>43</v>
      </c>
      <c r="K13"/>
      <c r="L13"/>
      <c r="M13"/>
      <c r="N13" s="51"/>
      <c r="O13" s="51"/>
      <c r="S13"/>
      <c r="T13"/>
    </row>
    <row r="14" spans="1:20" s="40" customFormat="1" x14ac:dyDescent="0.25">
      <c r="A14" s="23" t="s">
        <v>46</v>
      </c>
      <c r="B14" s="22"/>
      <c r="C14" s="21" t="s">
        <v>19</v>
      </c>
      <c r="D14" s="52"/>
      <c r="E14" s="30"/>
      <c r="F14" s="30"/>
      <c r="G14" s="31">
        <v>3702700</v>
      </c>
      <c r="H14" s="30"/>
      <c r="I14" s="42">
        <f t="shared" si="0"/>
        <v>3702700</v>
      </c>
      <c r="J14" t="s">
        <v>43</v>
      </c>
      <c r="K14" s="24" t="s">
        <v>104</v>
      </c>
      <c r="L14"/>
      <c r="M14"/>
      <c r="N14" s="51"/>
      <c r="O14" s="51"/>
      <c r="S14"/>
      <c r="T14"/>
    </row>
    <row r="15" spans="1:20" s="40" customFormat="1" x14ac:dyDescent="0.25">
      <c r="A15" s="23" t="s">
        <v>44</v>
      </c>
      <c r="B15" s="22" t="s">
        <v>45</v>
      </c>
      <c r="C15" s="22" t="s">
        <v>22</v>
      </c>
      <c r="D15" s="52"/>
      <c r="E15" s="30"/>
      <c r="F15" s="30"/>
      <c r="G15" s="30"/>
      <c r="H15" s="30"/>
      <c r="I15" s="42">
        <f t="shared" si="0"/>
        <v>0</v>
      </c>
      <c r="J15" t="s">
        <v>43</v>
      </c>
      <c r="K15"/>
      <c r="L15"/>
      <c r="M15"/>
      <c r="N15" s="51"/>
      <c r="O15" s="51"/>
      <c r="S15"/>
      <c r="T15"/>
    </row>
    <row r="16" spans="1:20" s="40" customFormat="1" x14ac:dyDescent="0.25">
      <c r="A16" s="23" t="s">
        <v>44</v>
      </c>
      <c r="B16" s="23" t="s">
        <v>44</v>
      </c>
      <c r="C16" s="21" t="s">
        <v>21</v>
      </c>
      <c r="D16" s="52"/>
      <c r="E16" s="30"/>
      <c r="F16" s="56">
        <v>665500</v>
      </c>
      <c r="G16" s="30"/>
      <c r="H16" s="30"/>
      <c r="I16" s="42">
        <f t="shared" si="0"/>
        <v>665500</v>
      </c>
      <c r="J16" t="s">
        <v>43</v>
      </c>
      <c r="K16" s="24" t="s">
        <v>105</v>
      </c>
      <c r="L16"/>
      <c r="M16"/>
      <c r="N16" s="51"/>
      <c r="O16" s="51"/>
      <c r="S16"/>
      <c r="T16"/>
    </row>
    <row r="17" spans="1:20" s="40" customFormat="1" x14ac:dyDescent="0.25">
      <c r="A17" s="23" t="s">
        <v>44</v>
      </c>
      <c r="B17" s="22"/>
      <c r="C17" s="21" t="s">
        <v>19</v>
      </c>
      <c r="D17" s="52"/>
      <c r="E17" s="30"/>
      <c r="F17" s="56">
        <v>1107200</v>
      </c>
      <c r="G17" s="30"/>
      <c r="H17" s="30"/>
      <c r="I17" s="42">
        <f t="shared" si="0"/>
        <v>1107200</v>
      </c>
      <c r="J17" t="s">
        <v>43</v>
      </c>
      <c r="K17" s="24" t="s">
        <v>106</v>
      </c>
      <c r="L17"/>
      <c r="M17"/>
      <c r="N17" s="51"/>
      <c r="O17" s="51"/>
      <c r="S17"/>
      <c r="T17"/>
    </row>
    <row r="18" spans="1:20" s="8" customFormat="1" ht="30" x14ac:dyDescent="0.25">
      <c r="A18" s="14" t="s">
        <v>18</v>
      </c>
      <c r="B18" s="14" t="s">
        <v>18</v>
      </c>
      <c r="C18" s="14"/>
      <c r="D18" s="13">
        <v>100000</v>
      </c>
      <c r="E18" s="28"/>
      <c r="F18" s="29">
        <v>1294700</v>
      </c>
      <c r="G18" s="29">
        <v>3401500</v>
      </c>
      <c r="H18" s="29">
        <v>300000</v>
      </c>
      <c r="I18" s="29">
        <f>SUM(D18:H18)</f>
        <v>5096200</v>
      </c>
      <c r="J18" s="10"/>
      <c r="K18" s="27" t="s">
        <v>107</v>
      </c>
      <c r="L18" s="10"/>
      <c r="M18" s="10"/>
      <c r="N18" s="26"/>
      <c r="O18" s="26"/>
      <c r="S18" s="10"/>
      <c r="T18" s="10"/>
    </row>
    <row r="19" spans="1:20" s="40" customFormat="1" x14ac:dyDescent="0.25">
      <c r="B19"/>
      <c r="C19"/>
      <c r="D19" s="1">
        <f t="shared" ref="D19:I19" si="1">SUM(D3:D18)</f>
        <v>1295100</v>
      </c>
      <c r="E19" s="1">
        <f t="shared" si="1"/>
        <v>0</v>
      </c>
      <c r="F19" s="1">
        <f t="shared" si="1"/>
        <v>3067400</v>
      </c>
      <c r="G19" s="1">
        <f t="shared" si="1"/>
        <v>7104200</v>
      </c>
      <c r="H19" s="1">
        <f t="shared" si="1"/>
        <v>300000</v>
      </c>
      <c r="I19" s="20">
        <f t="shared" si="1"/>
        <v>11766700</v>
      </c>
      <c r="J19"/>
      <c r="K19"/>
      <c r="L19" s="6">
        <v>11766700</v>
      </c>
      <c r="M19" s="5">
        <f>I19-L19</f>
        <v>0</v>
      </c>
      <c r="N19"/>
      <c r="O19" s="4"/>
      <c r="S19"/>
    </row>
    <row r="20" spans="1:20" s="40" customFormat="1" x14ac:dyDescent="0.25">
      <c r="B20" s="2" t="s">
        <v>60</v>
      </c>
      <c r="C20"/>
      <c r="D20" s="1"/>
      <c r="E20" s="1"/>
      <c r="F20" s="1"/>
      <c r="G20" s="1"/>
      <c r="H20" s="1"/>
      <c r="I20" s="57"/>
      <c r="J20" t="s">
        <v>108</v>
      </c>
      <c r="K20"/>
      <c r="L20" s="6"/>
      <c r="M20" s="5"/>
      <c r="N20"/>
      <c r="O20" s="4"/>
      <c r="S20"/>
    </row>
    <row r="21" spans="1:20" s="40" customFormat="1" x14ac:dyDescent="0.25">
      <c r="B21"/>
      <c r="C21"/>
      <c r="D21" s="1"/>
      <c r="E21" s="1"/>
      <c r="F21" s="1"/>
      <c r="G21" s="1"/>
      <c r="H21" s="1"/>
      <c r="I21" s="57"/>
      <c r="J21"/>
      <c r="K21"/>
      <c r="L21" s="6"/>
      <c r="M21" s="5"/>
      <c r="N21"/>
      <c r="O21" s="4"/>
      <c r="S21"/>
    </row>
    <row r="22" spans="1:20" s="40" customFormat="1" x14ac:dyDescent="0.25">
      <c r="B22"/>
      <c r="C22"/>
      <c r="D22" s="1"/>
      <c r="E22" s="1"/>
      <c r="F22" s="1"/>
      <c r="G22" s="1"/>
      <c r="H22" s="1"/>
      <c r="I22" s="57"/>
      <c r="J22"/>
      <c r="K22"/>
      <c r="L22" s="6"/>
      <c r="M22" s="5"/>
      <c r="N22"/>
      <c r="O22" s="4"/>
      <c r="S22"/>
    </row>
    <row r="23" spans="1:20" s="40" customFormat="1" x14ac:dyDescent="0.25">
      <c r="B23"/>
      <c r="C23"/>
      <c r="D23" s="1"/>
      <c r="E23" s="1"/>
      <c r="F23" s="1"/>
      <c r="G23" s="1"/>
      <c r="H23" s="1"/>
      <c r="I23" s="3"/>
      <c r="J23"/>
      <c r="K23"/>
      <c r="L23" s="6"/>
      <c r="M23" s="25"/>
      <c r="N23"/>
      <c r="O23" s="4"/>
      <c r="S23"/>
    </row>
    <row r="24" spans="1:20" s="40" customFormat="1" x14ac:dyDescent="0.25">
      <c r="B24" s="45" t="s">
        <v>17</v>
      </c>
      <c r="C24" s="45"/>
      <c r="D24" s="44" t="s">
        <v>16</v>
      </c>
      <c r="E24" s="45" t="s">
        <v>72</v>
      </c>
      <c r="F24" s="44" t="s">
        <v>56</v>
      </c>
      <c r="G24" s="44" t="s">
        <v>15</v>
      </c>
      <c r="H24" s="45" t="s">
        <v>13</v>
      </c>
      <c r="I24" s="44" t="s">
        <v>30</v>
      </c>
      <c r="J24"/>
      <c r="K24"/>
      <c r="L24" s="6"/>
      <c r="M24" s="25"/>
      <c r="N24"/>
      <c r="O24" s="4"/>
      <c r="S24"/>
    </row>
    <row r="25" spans="1:20" s="40" customFormat="1" x14ac:dyDescent="0.25">
      <c r="B25" s="43" t="s">
        <v>11</v>
      </c>
      <c r="C25" s="22"/>
      <c r="D25" s="43">
        <f>+D19</f>
        <v>1295100</v>
      </c>
      <c r="E25" s="43">
        <f t="shared" ref="E25:H25" si="2">+E19</f>
        <v>0</v>
      </c>
      <c r="F25" s="43">
        <f t="shared" si="2"/>
        <v>3067400</v>
      </c>
      <c r="G25" s="43">
        <f t="shared" si="2"/>
        <v>7104200</v>
      </c>
      <c r="H25" s="43">
        <f t="shared" si="2"/>
        <v>300000</v>
      </c>
      <c r="I25" s="43">
        <f>SUM(D25:H25)</f>
        <v>11766700</v>
      </c>
      <c r="J25"/>
      <c r="K25"/>
      <c r="L25" s="6"/>
      <c r="M25" s="25"/>
      <c r="N25"/>
      <c r="O25" s="4"/>
      <c r="S25"/>
    </row>
    <row r="26" spans="1:20" s="40" customFormat="1" x14ac:dyDescent="0.25">
      <c r="B26" s="22" t="s">
        <v>10</v>
      </c>
      <c r="C26" s="22"/>
      <c r="D26" s="43">
        <v>1295100</v>
      </c>
      <c r="E26" s="37"/>
      <c r="F26" s="37">
        <v>3067400</v>
      </c>
      <c r="G26" s="37">
        <v>7104200</v>
      </c>
      <c r="H26" s="42">
        <v>300000</v>
      </c>
      <c r="I26" s="43">
        <f t="shared" ref="I26:I35" si="3">SUM(D26:H26)</f>
        <v>11766700</v>
      </c>
      <c r="J26"/>
      <c r="K26"/>
      <c r="L26" s="6"/>
      <c r="M26" s="25"/>
      <c r="N26"/>
      <c r="O26" s="4"/>
      <c r="S26"/>
    </row>
    <row r="27" spans="1:20" s="40" customFormat="1" x14ac:dyDescent="0.25">
      <c r="B27" s="22" t="s">
        <v>9</v>
      </c>
      <c r="C27" s="22"/>
      <c r="D27" s="43">
        <v>2</v>
      </c>
      <c r="E27" s="37"/>
      <c r="F27" s="37">
        <v>1</v>
      </c>
      <c r="G27" s="37">
        <v>1</v>
      </c>
      <c r="H27" s="42">
        <v>0</v>
      </c>
      <c r="I27" s="43">
        <f t="shared" si="3"/>
        <v>4</v>
      </c>
      <c r="J27"/>
      <c r="K27"/>
      <c r="L27" s="6"/>
      <c r="M27" s="25"/>
      <c r="N27"/>
      <c r="O27" s="4"/>
      <c r="S27"/>
    </row>
    <row r="28" spans="1:20" s="40" customFormat="1" x14ac:dyDescent="0.25">
      <c r="B28" s="22" t="s">
        <v>8</v>
      </c>
      <c r="C28" s="22"/>
      <c r="D28" s="43">
        <f>+D6</f>
        <v>100000</v>
      </c>
      <c r="E28" s="37"/>
      <c r="F28" s="37"/>
      <c r="G28" s="37"/>
      <c r="H28" s="42"/>
      <c r="I28" s="43">
        <f t="shared" si="3"/>
        <v>100000</v>
      </c>
      <c r="J28"/>
      <c r="K28"/>
      <c r="L28" s="6"/>
      <c r="M28" s="25"/>
      <c r="N28"/>
      <c r="O28" s="4"/>
      <c r="S28"/>
    </row>
    <row r="29" spans="1:20" s="40" customFormat="1" x14ac:dyDescent="0.25">
      <c r="B29" s="46" t="s">
        <v>7</v>
      </c>
      <c r="C29" s="22"/>
      <c r="D29" s="43"/>
      <c r="E29" s="37"/>
      <c r="F29" s="37">
        <f>SUM(F16:F17)</f>
        <v>1772700</v>
      </c>
      <c r="G29" s="37"/>
      <c r="H29" s="42"/>
      <c r="I29" s="43">
        <f t="shared" si="3"/>
        <v>1772700</v>
      </c>
      <c r="J29"/>
      <c r="K29"/>
      <c r="L29" s="6"/>
      <c r="M29" s="25"/>
      <c r="N29"/>
      <c r="O29" s="4"/>
      <c r="S29"/>
    </row>
    <row r="30" spans="1:20" s="40" customFormat="1" x14ac:dyDescent="0.25">
      <c r="B30" s="46" t="s">
        <v>40</v>
      </c>
      <c r="C30" s="22"/>
      <c r="D30" s="43"/>
      <c r="E30" s="37"/>
      <c r="F30" s="37"/>
      <c r="G30" s="37">
        <f>+G14</f>
        <v>3702700</v>
      </c>
      <c r="H30" s="42"/>
      <c r="I30" s="43">
        <f t="shared" si="3"/>
        <v>3702700</v>
      </c>
      <c r="J30"/>
      <c r="K30"/>
      <c r="L30" s="6"/>
      <c r="M30" s="25"/>
      <c r="N30"/>
      <c r="O30" s="4"/>
      <c r="S30"/>
    </row>
    <row r="31" spans="1:20" s="40" customFormat="1" x14ac:dyDescent="0.25">
      <c r="B31" s="46" t="s">
        <v>39</v>
      </c>
      <c r="C31" s="22"/>
      <c r="D31" s="43">
        <f>+D11</f>
        <v>1095100</v>
      </c>
      <c r="E31" s="37"/>
      <c r="F31" s="37"/>
      <c r="G31" s="37"/>
      <c r="H31" s="42"/>
      <c r="I31" s="43">
        <f t="shared" si="3"/>
        <v>1095100</v>
      </c>
      <c r="J31"/>
      <c r="K31"/>
      <c r="L31" s="6"/>
      <c r="M31" s="25"/>
      <c r="N31"/>
      <c r="O31" s="4"/>
      <c r="S31"/>
    </row>
    <row r="32" spans="1:20" s="40" customFormat="1" x14ac:dyDescent="0.25">
      <c r="B32" s="22" t="s">
        <v>6</v>
      </c>
      <c r="C32" s="22"/>
      <c r="D32" s="43">
        <f>+D18</f>
        <v>100000</v>
      </c>
      <c r="E32" s="43">
        <f>+E18</f>
        <v>0</v>
      </c>
      <c r="F32" s="43">
        <f>+F18</f>
        <v>1294700</v>
      </c>
      <c r="G32" s="43">
        <f>+G18</f>
        <v>3401500</v>
      </c>
      <c r="H32" s="43">
        <f>+H18</f>
        <v>300000</v>
      </c>
      <c r="I32" s="43">
        <f t="shared" si="3"/>
        <v>5096200</v>
      </c>
      <c r="J32"/>
      <c r="K32"/>
      <c r="L32" s="6"/>
      <c r="M32" s="25"/>
      <c r="N32"/>
      <c r="O32" s="4"/>
      <c r="S32"/>
    </row>
    <row r="33" spans="1:19" s="40" customFormat="1" x14ac:dyDescent="0.25">
      <c r="B33" s="22" t="s">
        <v>5</v>
      </c>
      <c r="C33" s="22"/>
      <c r="D33" s="43">
        <f>SUM(D28:D32)</f>
        <v>1295100</v>
      </c>
      <c r="E33" s="43">
        <f>SUM(E28:E32)</f>
        <v>0</v>
      </c>
      <c r="F33" s="43">
        <f>SUM(F28:F32)</f>
        <v>3067400</v>
      </c>
      <c r="G33" s="43">
        <f>SUM(G28:G32)</f>
        <v>7104200</v>
      </c>
      <c r="H33" s="43">
        <f>SUM(H28:H32)</f>
        <v>300000</v>
      </c>
      <c r="I33" s="43">
        <f t="shared" si="3"/>
        <v>11766700</v>
      </c>
      <c r="J33"/>
      <c r="K33"/>
      <c r="L33" s="51"/>
      <c r="M33" s="25"/>
      <c r="N33"/>
      <c r="O33" s="4"/>
      <c r="S33"/>
    </row>
    <row r="34" spans="1:19" s="40" customFormat="1" x14ac:dyDescent="0.25">
      <c r="B34" s="22" t="s">
        <v>4</v>
      </c>
      <c r="C34" s="22"/>
      <c r="D34" s="43">
        <f>D26-D33</f>
        <v>0</v>
      </c>
      <c r="E34" s="43">
        <f>E26-E33</f>
        <v>0</v>
      </c>
      <c r="F34" s="43">
        <f>F26-F33</f>
        <v>0</v>
      </c>
      <c r="G34" s="43">
        <f>G26-G33</f>
        <v>0</v>
      </c>
      <c r="H34" s="43">
        <f>H26-H33</f>
        <v>0</v>
      </c>
      <c r="I34" s="43">
        <f t="shared" si="3"/>
        <v>0</v>
      </c>
      <c r="J34"/>
      <c r="K34"/>
      <c r="L34" s="51"/>
      <c r="M34" s="25"/>
      <c r="N34" s="4"/>
      <c r="O34" s="4"/>
      <c r="S34"/>
    </row>
    <row r="35" spans="1:19" s="40" customFormat="1" x14ac:dyDescent="0.25">
      <c r="B35" s="22" t="s">
        <v>3</v>
      </c>
      <c r="C35" s="22"/>
      <c r="D35" s="43">
        <v>3</v>
      </c>
      <c r="E35" s="43"/>
      <c r="F35" s="43">
        <v>4</v>
      </c>
      <c r="G35" s="43">
        <v>10</v>
      </c>
      <c r="H35" s="42">
        <v>1</v>
      </c>
      <c r="I35" s="43">
        <f t="shared" si="3"/>
        <v>18</v>
      </c>
      <c r="J35"/>
      <c r="K35"/>
      <c r="L35"/>
      <c r="M35"/>
      <c r="N35"/>
      <c r="O35"/>
      <c r="S35"/>
    </row>
    <row r="36" spans="1:19" s="40" customFormat="1" x14ac:dyDescent="0.25">
      <c r="B36"/>
      <c r="C36"/>
      <c r="H36" s="41"/>
      <c r="I36"/>
      <c r="J36"/>
      <c r="K36"/>
      <c r="L36"/>
      <c r="M36"/>
      <c r="N36" s="4"/>
      <c r="O36"/>
      <c r="S36"/>
    </row>
    <row r="37" spans="1:19" s="40" customFormat="1" x14ac:dyDescent="0.25">
      <c r="B37" t="s">
        <v>1</v>
      </c>
      <c r="C37"/>
      <c r="H37" s="41"/>
      <c r="I37"/>
      <c r="J37" s="4"/>
      <c r="K37" s="4"/>
      <c r="L37"/>
      <c r="M37"/>
      <c r="N37" s="4"/>
      <c r="O37" s="4"/>
      <c r="S37"/>
    </row>
    <row r="38" spans="1:19" s="40" customFormat="1" x14ac:dyDescent="0.25">
      <c r="B38" t="s">
        <v>0</v>
      </c>
      <c r="C38"/>
      <c r="H38" s="41"/>
      <c r="I38"/>
      <c r="J38"/>
      <c r="K38"/>
      <c r="L38"/>
      <c r="M38"/>
      <c r="N38" s="6"/>
      <c r="O38" s="4"/>
      <c r="S38"/>
    </row>
    <row r="39" spans="1:19" s="40" customFormat="1" x14ac:dyDescent="0.25">
      <c r="B39"/>
      <c r="C39"/>
      <c r="E39"/>
      <c r="F39"/>
      <c r="G39"/>
      <c r="H39" s="41"/>
      <c r="I39"/>
      <c r="J39"/>
      <c r="K39"/>
      <c r="L39"/>
      <c r="M39"/>
      <c r="N39" s="6"/>
      <c r="O39" s="4"/>
      <c r="S39"/>
    </row>
    <row r="40" spans="1:19" s="40" customFormat="1" x14ac:dyDescent="0.25">
      <c r="B40"/>
      <c r="C40"/>
      <c r="F40"/>
      <c r="G40"/>
      <c r="H40"/>
      <c r="I40"/>
      <c r="J40"/>
      <c r="K40"/>
      <c r="L40"/>
      <c r="M40"/>
      <c r="N40" s="6"/>
      <c r="O40" s="4"/>
      <c r="S40"/>
    </row>
    <row r="41" spans="1:19" s="40" customFormat="1" x14ac:dyDescent="0.25">
      <c r="B41"/>
      <c r="C41"/>
      <c r="F41"/>
      <c r="G41"/>
      <c r="H41"/>
      <c r="I41"/>
      <c r="J41"/>
      <c r="K41"/>
      <c r="L41"/>
      <c r="M41"/>
      <c r="N41" s="6"/>
      <c r="O41" s="4"/>
      <c r="S41"/>
    </row>
    <row r="42" spans="1:19" s="40" customFormat="1" x14ac:dyDescent="0.25">
      <c r="B42" s="45" t="s">
        <v>36</v>
      </c>
      <c r="C42" s="45" t="s">
        <v>35</v>
      </c>
      <c r="D42" s="44" t="s">
        <v>34</v>
      </c>
      <c r="E42" s="44" t="s">
        <v>59</v>
      </c>
      <c r="F42" s="54" t="s">
        <v>33</v>
      </c>
      <c r="G42" s="54" t="s">
        <v>32</v>
      </c>
      <c r="H42" s="44" t="s">
        <v>31</v>
      </c>
      <c r="I42" s="34" t="s">
        <v>30</v>
      </c>
      <c r="J42" s="34" t="s">
        <v>29</v>
      </c>
      <c r="K42" s="34" t="s">
        <v>28</v>
      </c>
      <c r="L42" s="34" t="s">
        <v>27</v>
      </c>
      <c r="M42" s="34" t="s">
        <v>4</v>
      </c>
      <c r="N42" s="6"/>
      <c r="O42" s="4"/>
      <c r="S42"/>
    </row>
    <row r="43" spans="1:19" s="40" customFormat="1" x14ac:dyDescent="0.25">
      <c r="A43" s="23" t="s">
        <v>69</v>
      </c>
      <c r="B43" s="22" t="s">
        <v>70</v>
      </c>
      <c r="C43" s="21" t="s">
        <v>22</v>
      </c>
      <c r="D43" s="48">
        <v>4410000</v>
      </c>
      <c r="E43" s="42"/>
      <c r="F43" s="43"/>
      <c r="G43" s="48">
        <v>900000</v>
      </c>
      <c r="H43" s="42"/>
      <c r="I43" s="19">
        <f t="shared" ref="I43:I51" si="4">SUM(D43:H43)</f>
        <v>5310000</v>
      </c>
      <c r="J43" s="40" t="s">
        <v>68</v>
      </c>
      <c r="K43" s="50" t="s">
        <v>109</v>
      </c>
      <c r="L43"/>
      <c r="M43"/>
      <c r="N43"/>
      <c r="O43" s="4"/>
      <c r="S43"/>
    </row>
    <row r="44" spans="1:19" s="40" customFormat="1" x14ac:dyDescent="0.25">
      <c r="A44" s="23" t="s">
        <v>69</v>
      </c>
      <c r="B44" s="23" t="s">
        <v>69</v>
      </c>
      <c r="C44" s="22" t="s">
        <v>21</v>
      </c>
      <c r="D44" s="42"/>
      <c r="E44" s="42"/>
      <c r="F44" s="43"/>
      <c r="G44" s="47"/>
      <c r="H44" s="42"/>
      <c r="I44" s="19">
        <f t="shared" si="4"/>
        <v>0</v>
      </c>
      <c r="J44" s="40" t="s">
        <v>68</v>
      </c>
      <c r="L44"/>
      <c r="M44"/>
      <c r="N44"/>
      <c r="O44" s="4"/>
      <c r="S44"/>
    </row>
    <row r="45" spans="1:19" s="40" customFormat="1" x14ac:dyDescent="0.25">
      <c r="A45" s="23" t="s">
        <v>69</v>
      </c>
      <c r="B45" s="22"/>
      <c r="C45" s="22" t="s">
        <v>19</v>
      </c>
      <c r="D45" s="42"/>
      <c r="E45" s="42"/>
      <c r="F45" s="43"/>
      <c r="G45" s="47"/>
      <c r="H45" s="42"/>
      <c r="I45" s="19">
        <f t="shared" si="4"/>
        <v>0</v>
      </c>
      <c r="J45" s="40" t="s">
        <v>68</v>
      </c>
      <c r="L45"/>
      <c r="M45"/>
      <c r="N45"/>
      <c r="O45" s="4"/>
      <c r="S45"/>
    </row>
    <row r="46" spans="1:19" s="40" customFormat="1" x14ac:dyDescent="0.25">
      <c r="A46" s="23" t="s">
        <v>20</v>
      </c>
      <c r="B46" s="22" t="s">
        <v>23</v>
      </c>
      <c r="C46" s="21" t="s">
        <v>22</v>
      </c>
      <c r="D46" s="42"/>
      <c r="E46" s="42"/>
      <c r="F46" s="43"/>
      <c r="G46" s="85">
        <v>80000</v>
      </c>
      <c r="H46" s="42"/>
      <c r="I46" s="19">
        <f t="shared" si="4"/>
        <v>80000</v>
      </c>
      <c r="J46" s="22" t="s">
        <v>58</v>
      </c>
      <c r="K46" s="24" t="s">
        <v>110</v>
      </c>
      <c r="L46"/>
      <c r="M46"/>
      <c r="N46"/>
      <c r="O46" s="4"/>
      <c r="S46"/>
    </row>
    <row r="47" spans="1:19" s="40" customFormat="1" x14ac:dyDescent="0.25">
      <c r="A47" s="23" t="s">
        <v>20</v>
      </c>
      <c r="B47" s="23" t="s">
        <v>20</v>
      </c>
      <c r="C47" s="46" t="s">
        <v>21</v>
      </c>
      <c r="D47" s="42"/>
      <c r="E47" s="42"/>
      <c r="F47" s="43"/>
      <c r="G47" s="47"/>
      <c r="H47" s="42"/>
      <c r="I47" s="19">
        <f t="shared" si="4"/>
        <v>0</v>
      </c>
      <c r="J47" s="22" t="s">
        <v>58</v>
      </c>
      <c r="K47"/>
      <c r="L47"/>
      <c r="M47"/>
      <c r="N47" s="4"/>
      <c r="O47" s="4"/>
      <c r="S47"/>
    </row>
    <row r="48" spans="1:19" s="40" customFormat="1" x14ac:dyDescent="0.25">
      <c r="A48" s="23" t="s">
        <v>20</v>
      </c>
      <c r="B48" s="22"/>
      <c r="C48" s="49" t="s">
        <v>19</v>
      </c>
      <c r="D48" s="85">
        <v>4620000</v>
      </c>
      <c r="E48" s="42"/>
      <c r="F48" s="43"/>
      <c r="G48" s="47"/>
      <c r="H48" s="42"/>
      <c r="I48" s="19">
        <f t="shared" si="4"/>
        <v>4620000</v>
      </c>
      <c r="J48" s="22" t="s">
        <v>58</v>
      </c>
      <c r="K48" s="24" t="s">
        <v>111</v>
      </c>
      <c r="L48"/>
      <c r="M48"/>
      <c r="N48"/>
      <c r="O48" s="4"/>
      <c r="S48"/>
    </row>
    <row r="49" spans="1:20" s="40" customFormat="1" x14ac:dyDescent="0.25">
      <c r="A49" s="23" t="s">
        <v>62</v>
      </c>
      <c r="B49" s="49" t="s">
        <v>112</v>
      </c>
      <c r="C49" s="49" t="s">
        <v>113</v>
      </c>
      <c r="D49" s="42"/>
      <c r="E49" s="42"/>
      <c r="F49" s="53">
        <v>3120000</v>
      </c>
      <c r="G49" s="47"/>
      <c r="H49" s="42"/>
      <c r="I49" s="19">
        <f t="shared" si="4"/>
        <v>3120000</v>
      </c>
      <c r="J49" s="16"/>
      <c r="K49" s="15" t="s">
        <v>114</v>
      </c>
      <c r="L49"/>
      <c r="M49"/>
      <c r="N49"/>
      <c r="O49" s="4"/>
      <c r="S49"/>
    </row>
    <row r="50" spans="1:20" s="8" customFormat="1" x14ac:dyDescent="0.25">
      <c r="A50" s="14" t="s">
        <v>18</v>
      </c>
      <c r="B50" s="14" t="s">
        <v>18</v>
      </c>
      <c r="C50" s="14"/>
      <c r="D50" s="13">
        <v>6490000</v>
      </c>
      <c r="E50" s="12"/>
      <c r="F50" s="12"/>
      <c r="G50" s="13">
        <v>1680000</v>
      </c>
      <c r="H50" s="12"/>
      <c r="I50" s="29">
        <f t="shared" si="4"/>
        <v>8170000</v>
      </c>
      <c r="J50" s="10"/>
      <c r="K50" s="11" t="s">
        <v>115</v>
      </c>
      <c r="L50" s="10"/>
      <c r="M50" s="9"/>
      <c r="N50" s="10"/>
      <c r="O50" s="9"/>
    </row>
    <row r="51" spans="1:20" s="40" customFormat="1" x14ac:dyDescent="0.25">
      <c r="B51"/>
      <c r="C51"/>
      <c r="D51" s="7">
        <f>SUM(D43:D50)</f>
        <v>15520000</v>
      </c>
      <c r="E51" s="7">
        <f>SUM(E43:E50)</f>
        <v>0</v>
      </c>
      <c r="F51" s="7">
        <f>SUM(F43:F50)</f>
        <v>3120000</v>
      </c>
      <c r="G51" s="7">
        <f>SUM(G43:G50)</f>
        <v>2660000</v>
      </c>
      <c r="H51" s="7">
        <f>SUM(H43:H50)</f>
        <v>0</v>
      </c>
      <c r="I51" s="84">
        <f t="shared" si="4"/>
        <v>21300000</v>
      </c>
      <c r="J51"/>
      <c r="K51"/>
      <c r="L51" s="6">
        <v>22650000</v>
      </c>
      <c r="M51" s="5">
        <f>I51-L51</f>
        <v>-1350000</v>
      </c>
      <c r="N51" s="5"/>
      <c r="O51" s="4"/>
    </row>
    <row r="52" spans="1:20" s="40" customFormat="1" x14ac:dyDescent="0.25">
      <c r="B52" s="2" t="s">
        <v>60</v>
      </c>
      <c r="C52"/>
      <c r="I52"/>
      <c r="J52"/>
      <c r="K52"/>
      <c r="L52"/>
      <c r="M52" s="4"/>
      <c r="N52"/>
      <c r="O52" s="4"/>
    </row>
    <row r="53" spans="1:20" s="40" customFormat="1" x14ac:dyDescent="0.25">
      <c r="B53" t="s">
        <v>116</v>
      </c>
      <c r="C53"/>
      <c r="I53"/>
      <c r="J53"/>
      <c r="K53"/>
      <c r="L53"/>
      <c r="M53" s="4"/>
      <c r="N53"/>
      <c r="O53" s="4"/>
    </row>
    <row r="54" spans="1:20" s="40" customFormat="1" x14ac:dyDescent="0.25">
      <c r="B54"/>
      <c r="C54"/>
      <c r="I54"/>
      <c r="J54"/>
      <c r="K54"/>
      <c r="L54"/>
      <c r="M54" s="4"/>
      <c r="N54"/>
      <c r="O54" s="4"/>
    </row>
    <row r="55" spans="1:20" s="40" customFormat="1" x14ac:dyDescent="0.25">
      <c r="B55"/>
      <c r="C55"/>
      <c r="I55" s="4"/>
      <c r="J55"/>
      <c r="K55"/>
      <c r="L55"/>
      <c r="M55" s="4"/>
      <c r="N55"/>
      <c r="O55"/>
    </row>
    <row r="56" spans="1:20" s="40" customFormat="1" x14ac:dyDescent="0.25">
      <c r="B56" s="45" t="s">
        <v>17</v>
      </c>
      <c r="C56" s="45"/>
      <c r="D56" s="44" t="s">
        <v>16</v>
      </c>
      <c r="E56" s="44" t="s">
        <v>72</v>
      </c>
      <c r="F56" s="44" t="s">
        <v>56</v>
      </c>
      <c r="G56" s="44" t="s">
        <v>15</v>
      </c>
      <c r="H56" s="44" t="s">
        <v>13</v>
      </c>
      <c r="I56" s="44" t="s">
        <v>12</v>
      </c>
      <c r="J56"/>
      <c r="K56"/>
      <c r="L56"/>
      <c r="M56"/>
      <c r="N56"/>
      <c r="O56"/>
    </row>
    <row r="57" spans="1:20" s="40" customFormat="1" x14ac:dyDescent="0.25">
      <c r="B57" s="22" t="s">
        <v>11</v>
      </c>
      <c r="C57" s="22"/>
      <c r="D57" s="43">
        <f>+D51</f>
        <v>15520000</v>
      </c>
      <c r="E57" s="43">
        <f t="shared" ref="E57:H57" si="5">+E51</f>
        <v>0</v>
      </c>
      <c r="F57" s="43">
        <f t="shared" si="5"/>
        <v>3120000</v>
      </c>
      <c r="G57" s="43">
        <f t="shared" si="5"/>
        <v>2660000</v>
      </c>
      <c r="H57" s="43">
        <f t="shared" si="5"/>
        <v>0</v>
      </c>
      <c r="I57" s="68">
        <f>SUM(D57:H57)</f>
        <v>21300000</v>
      </c>
      <c r="J57"/>
      <c r="K57"/>
      <c r="L57"/>
      <c r="M57"/>
      <c r="N57"/>
      <c r="O57"/>
      <c r="S57"/>
      <c r="T57"/>
    </row>
    <row r="58" spans="1:20" x14ac:dyDescent="0.25">
      <c r="B58" s="22" t="s">
        <v>10</v>
      </c>
      <c r="C58" s="22"/>
      <c r="D58" s="43">
        <v>16030000</v>
      </c>
      <c r="E58" s="37"/>
      <c r="F58" s="37">
        <v>3120000</v>
      </c>
      <c r="G58" s="37">
        <v>3420000</v>
      </c>
      <c r="H58" s="42"/>
      <c r="I58" s="68">
        <f t="shared" ref="I58:I64" si="6">SUM(D58:H58)</f>
        <v>22570000</v>
      </c>
    </row>
    <row r="59" spans="1:20" x14ac:dyDescent="0.25">
      <c r="B59" s="22" t="s">
        <v>9</v>
      </c>
      <c r="C59" s="22"/>
      <c r="D59" s="43"/>
      <c r="E59" s="37"/>
      <c r="F59" s="37">
        <v>0</v>
      </c>
      <c r="G59" s="37">
        <v>2</v>
      </c>
      <c r="H59" s="42"/>
      <c r="I59" s="68">
        <f t="shared" si="6"/>
        <v>2</v>
      </c>
    </row>
    <row r="60" spans="1:20" x14ac:dyDescent="0.25">
      <c r="B60" s="22" t="s">
        <v>38</v>
      </c>
      <c r="C60" s="22"/>
      <c r="D60" s="43"/>
      <c r="E60" s="37"/>
      <c r="F60" s="37">
        <f>+F49</f>
        <v>3120000</v>
      </c>
      <c r="G60" s="37"/>
      <c r="H60" s="42"/>
      <c r="I60" s="68">
        <f t="shared" si="6"/>
        <v>3120000</v>
      </c>
    </row>
    <row r="61" spans="1:20" x14ac:dyDescent="0.25">
      <c r="B61" s="22" t="s">
        <v>6</v>
      </c>
      <c r="C61" s="22"/>
      <c r="D61" s="43">
        <f>+D50</f>
        <v>6490000</v>
      </c>
      <c r="E61" s="43">
        <f>+E50</f>
        <v>0</v>
      </c>
      <c r="F61" s="43">
        <f>+F50</f>
        <v>0</v>
      </c>
      <c r="G61" s="43">
        <f>+G50</f>
        <v>1680000</v>
      </c>
      <c r="H61" s="43">
        <f>+H50</f>
        <v>0</v>
      </c>
      <c r="I61" s="68">
        <f t="shared" si="6"/>
        <v>8170000</v>
      </c>
    </row>
    <row r="62" spans="1:20" x14ac:dyDescent="0.25">
      <c r="B62" s="22" t="s">
        <v>5</v>
      </c>
      <c r="C62" s="22"/>
      <c r="D62" s="43">
        <f>SUM(D60:D61)</f>
        <v>6490000</v>
      </c>
      <c r="E62" s="43">
        <f>SUM(E60:E61)</f>
        <v>0</v>
      </c>
      <c r="F62" s="43">
        <f>SUM(F60:F61)</f>
        <v>3120000</v>
      </c>
      <c r="G62" s="43">
        <f>SUM(G60:G61)</f>
        <v>1680000</v>
      </c>
      <c r="H62" s="43">
        <f>SUM(H60:H61)</f>
        <v>0</v>
      </c>
      <c r="I62" s="68">
        <f t="shared" si="6"/>
        <v>11290000</v>
      </c>
    </row>
    <row r="63" spans="1:20" x14ac:dyDescent="0.25">
      <c r="B63" s="22" t="s">
        <v>4</v>
      </c>
      <c r="C63" s="22"/>
      <c r="D63" s="43">
        <f>D58-D62</f>
        <v>9540000</v>
      </c>
      <c r="E63" s="43">
        <f>E58-E62</f>
        <v>0</v>
      </c>
      <c r="F63" s="43">
        <f>F58-F62</f>
        <v>0</v>
      </c>
      <c r="G63" s="43">
        <f>G58-G62</f>
        <v>1740000</v>
      </c>
      <c r="H63" s="43">
        <f>H58-H62</f>
        <v>0</v>
      </c>
      <c r="I63" s="68">
        <f t="shared" si="6"/>
        <v>11280000</v>
      </c>
    </row>
    <row r="64" spans="1:20" x14ac:dyDescent="0.25">
      <c r="B64" s="22" t="s">
        <v>3</v>
      </c>
      <c r="C64" s="22"/>
      <c r="D64" s="43">
        <v>6</v>
      </c>
      <c r="E64" s="43"/>
      <c r="F64" s="43">
        <v>1</v>
      </c>
      <c r="G64" s="43">
        <v>7</v>
      </c>
      <c r="H64" s="42"/>
      <c r="I64" s="68">
        <f t="shared" si="6"/>
        <v>14</v>
      </c>
    </row>
    <row r="65" spans="2:9" x14ac:dyDescent="0.25">
      <c r="H65" s="41"/>
    </row>
    <row r="66" spans="2:9" x14ac:dyDescent="0.25">
      <c r="E66"/>
      <c r="F66"/>
      <c r="G66"/>
      <c r="H66" s="41"/>
    </row>
    <row r="67" spans="2:9" x14ac:dyDescent="0.25">
      <c r="B67" t="s">
        <v>2</v>
      </c>
    </row>
    <row r="68" spans="2:9" x14ac:dyDescent="0.25">
      <c r="B68" t="s">
        <v>1</v>
      </c>
    </row>
    <row r="69" spans="2:9" x14ac:dyDescent="0.25">
      <c r="B69" t="s">
        <v>0</v>
      </c>
      <c r="I69" s="83">
        <f>+I51+I19</f>
        <v>33066700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072A-C652-4FA2-856B-AF0CCC59CCDF}">
  <sheetPr>
    <pageSetUpPr fitToPage="1"/>
  </sheetPr>
  <dimension ref="A1:R65"/>
  <sheetViews>
    <sheetView workbookViewId="0">
      <pane xSplit="3" ySplit="2" topLeftCell="D39" activePane="bottomRight" state="frozen"/>
      <selection activeCell="B67" sqref="B67"/>
      <selection pane="topRight" activeCell="B67" sqref="B67"/>
      <selection pane="bottomLeft" activeCell="B67" sqref="B67"/>
      <selection pane="bottomRight" activeCell="B67" sqref="B67"/>
    </sheetView>
  </sheetViews>
  <sheetFormatPr defaultRowHeight="15" x14ac:dyDescent="0.25"/>
  <cols>
    <col min="2" max="2" width="32.42578125" customWidth="1"/>
    <col min="3" max="3" width="18" customWidth="1"/>
    <col min="4" max="6" width="14" style="40" customWidth="1"/>
    <col min="7" max="7" width="12.5703125" bestFit="1" customWidth="1"/>
    <col min="8" max="8" width="2.7109375" customWidth="1"/>
    <col min="9" max="9" width="45.42578125" style="16" customWidth="1"/>
    <col min="10" max="10" width="16.28515625" bestFit="1" customWidth="1"/>
    <col min="11" max="11" width="15" customWidth="1"/>
    <col min="12" max="13" width="14.28515625" bestFit="1" customWidth="1"/>
    <col min="14" max="14" width="14.28515625" style="40" bestFit="1" customWidth="1"/>
    <col min="15" max="15" width="14.28515625" style="40" customWidth="1"/>
    <col min="16" max="16" width="11.28515625" style="40" bestFit="1" customWidth="1"/>
  </cols>
  <sheetData>
    <row r="1" spans="1:18" x14ac:dyDescent="0.25">
      <c r="E1" s="55" t="s">
        <v>117</v>
      </c>
    </row>
    <row r="2" spans="1:18" x14ac:dyDescent="0.25">
      <c r="B2" s="45" t="s">
        <v>36</v>
      </c>
      <c r="C2" s="45" t="s">
        <v>35</v>
      </c>
      <c r="D2" s="44" t="s">
        <v>34</v>
      </c>
      <c r="E2" s="54" t="s">
        <v>33</v>
      </c>
      <c r="F2" s="54" t="s">
        <v>32</v>
      </c>
      <c r="G2" s="34" t="s">
        <v>30</v>
      </c>
      <c r="H2" s="34" t="s">
        <v>29</v>
      </c>
      <c r="I2" s="34" t="s">
        <v>28</v>
      </c>
      <c r="J2" s="34" t="s">
        <v>27</v>
      </c>
      <c r="K2" s="34" t="s">
        <v>4</v>
      </c>
    </row>
    <row r="3" spans="1:18" x14ac:dyDescent="0.25">
      <c r="A3" s="23" t="s">
        <v>51</v>
      </c>
      <c r="B3" s="77" t="s">
        <v>54</v>
      </c>
      <c r="C3" s="80" t="s">
        <v>22</v>
      </c>
      <c r="D3" s="78"/>
      <c r="E3" s="78"/>
      <c r="F3" s="79">
        <v>750000</v>
      </c>
      <c r="G3" s="42">
        <f t="shared" ref="G3:G18" si="0">SUM(D3:F3)</f>
        <v>750000</v>
      </c>
      <c r="H3" t="s">
        <v>43</v>
      </c>
      <c r="I3" s="15" t="s">
        <v>118</v>
      </c>
      <c r="J3" s="33"/>
      <c r="K3" s="33"/>
    </row>
    <row r="4" spans="1:18" x14ac:dyDescent="0.25">
      <c r="A4" s="23" t="s">
        <v>51</v>
      </c>
      <c r="B4" s="23" t="s">
        <v>51</v>
      </c>
      <c r="C4" s="18" t="s">
        <v>21</v>
      </c>
      <c r="D4" s="52"/>
      <c r="E4" s="52"/>
      <c r="F4" s="30"/>
      <c r="G4" s="42">
        <f t="shared" si="0"/>
        <v>0</v>
      </c>
      <c r="H4" t="s">
        <v>43</v>
      </c>
      <c r="J4" s="33"/>
      <c r="K4" s="33"/>
    </row>
    <row r="5" spans="1:18" x14ac:dyDescent="0.25">
      <c r="A5" s="23" t="s">
        <v>51</v>
      </c>
      <c r="B5" s="18"/>
      <c r="C5" s="18" t="s">
        <v>19</v>
      </c>
      <c r="D5" s="52"/>
      <c r="E5" s="52"/>
      <c r="F5" s="31">
        <f>5550000+2050000</f>
        <v>7600000</v>
      </c>
      <c r="G5" s="42">
        <f t="shared" si="0"/>
        <v>7600000</v>
      </c>
      <c r="H5" t="s">
        <v>43</v>
      </c>
      <c r="I5" s="15" t="s">
        <v>119</v>
      </c>
      <c r="J5" s="33"/>
      <c r="K5" s="33"/>
    </row>
    <row r="6" spans="1:18" s="40" customFormat="1" x14ac:dyDescent="0.25">
      <c r="A6" s="23" t="s">
        <v>51</v>
      </c>
      <c r="B6" s="22" t="s">
        <v>71</v>
      </c>
      <c r="C6" s="21" t="s">
        <v>22</v>
      </c>
      <c r="D6" s="52"/>
      <c r="E6" s="52"/>
      <c r="F6" s="30">
        <v>400500</v>
      </c>
      <c r="G6" s="42">
        <f t="shared" si="0"/>
        <v>400500</v>
      </c>
      <c r="H6" t="s">
        <v>43</v>
      </c>
      <c r="I6" s="15" t="s">
        <v>120</v>
      </c>
      <c r="J6"/>
      <c r="K6"/>
      <c r="L6" s="51"/>
      <c r="M6" s="51"/>
      <c r="Q6"/>
      <c r="R6"/>
    </row>
    <row r="7" spans="1:18" s="40" customFormat="1" x14ac:dyDescent="0.25">
      <c r="A7" s="23" t="s">
        <v>51</v>
      </c>
      <c r="B7" s="23" t="s">
        <v>51</v>
      </c>
      <c r="C7" s="22" t="s">
        <v>21</v>
      </c>
      <c r="D7" s="52"/>
      <c r="E7" s="52"/>
      <c r="F7" s="30"/>
      <c r="G7" s="42">
        <f t="shared" si="0"/>
        <v>0</v>
      </c>
      <c r="H7" t="s">
        <v>43</v>
      </c>
      <c r="I7" s="16"/>
      <c r="J7"/>
      <c r="K7"/>
      <c r="L7" s="51"/>
      <c r="M7" s="51"/>
      <c r="Q7"/>
      <c r="R7"/>
    </row>
    <row r="8" spans="1:18" s="40" customFormat="1" x14ac:dyDescent="0.25">
      <c r="A8" s="23" t="s">
        <v>51</v>
      </c>
      <c r="B8" s="22"/>
      <c r="C8" s="22" t="s">
        <v>19</v>
      </c>
      <c r="D8" s="52"/>
      <c r="E8" s="52"/>
      <c r="F8" s="31">
        <v>1604800</v>
      </c>
      <c r="G8" s="42">
        <f t="shared" si="0"/>
        <v>1604800</v>
      </c>
      <c r="H8" t="s">
        <v>43</v>
      </c>
      <c r="I8" s="15" t="s">
        <v>121</v>
      </c>
      <c r="J8"/>
      <c r="K8"/>
      <c r="L8" s="51"/>
      <c r="M8" s="51"/>
      <c r="Q8"/>
      <c r="R8"/>
    </row>
    <row r="9" spans="1:18" s="40" customFormat="1" x14ac:dyDescent="0.25">
      <c r="A9" s="23" t="s">
        <v>51</v>
      </c>
      <c r="B9" s="22" t="s">
        <v>53</v>
      </c>
      <c r="C9" s="22" t="s">
        <v>22</v>
      </c>
      <c r="D9" s="52"/>
      <c r="E9" s="52"/>
      <c r="F9" s="30"/>
      <c r="G9" s="42">
        <f t="shared" si="0"/>
        <v>0</v>
      </c>
      <c r="H9" t="s">
        <v>43</v>
      </c>
      <c r="I9" s="16"/>
      <c r="J9"/>
      <c r="K9"/>
      <c r="L9" s="51"/>
      <c r="M9" s="51"/>
      <c r="Q9"/>
      <c r="R9"/>
    </row>
    <row r="10" spans="1:18" s="40" customFormat="1" x14ac:dyDescent="0.25">
      <c r="A10" s="23" t="s">
        <v>51</v>
      </c>
      <c r="B10" s="23" t="s">
        <v>51</v>
      </c>
      <c r="C10" s="22" t="s">
        <v>21</v>
      </c>
      <c r="D10" s="52"/>
      <c r="E10" s="52"/>
      <c r="F10" s="30"/>
      <c r="G10" s="42">
        <f t="shared" si="0"/>
        <v>0</v>
      </c>
      <c r="H10" t="s">
        <v>43</v>
      </c>
      <c r="I10" s="16"/>
      <c r="J10"/>
      <c r="K10"/>
      <c r="L10" s="51"/>
      <c r="M10" s="51"/>
      <c r="Q10"/>
      <c r="R10"/>
    </row>
    <row r="11" spans="1:18" s="40" customFormat="1" x14ac:dyDescent="0.25">
      <c r="A11" s="23" t="s">
        <v>51</v>
      </c>
      <c r="B11" s="22"/>
      <c r="C11" s="22" t="s">
        <v>19</v>
      </c>
      <c r="D11" s="53">
        <v>472300</v>
      </c>
      <c r="E11" s="52"/>
      <c r="F11" s="30"/>
      <c r="G11" s="42">
        <f t="shared" si="0"/>
        <v>472300</v>
      </c>
      <c r="H11" t="s">
        <v>43</v>
      </c>
      <c r="I11" s="15" t="s">
        <v>122</v>
      </c>
      <c r="J11"/>
      <c r="K11"/>
      <c r="L11" s="51"/>
      <c r="M11" s="51"/>
      <c r="Q11"/>
      <c r="R11"/>
    </row>
    <row r="12" spans="1:18" s="40" customFormat="1" x14ac:dyDescent="0.25">
      <c r="A12" s="23" t="s">
        <v>42</v>
      </c>
      <c r="B12" s="22" t="s">
        <v>48</v>
      </c>
      <c r="C12" s="21" t="s">
        <v>22</v>
      </c>
      <c r="D12" s="53">
        <v>502200</v>
      </c>
      <c r="E12" s="52"/>
      <c r="F12" s="30"/>
      <c r="G12" s="42">
        <f t="shared" si="0"/>
        <v>502200</v>
      </c>
      <c r="H12" t="s">
        <v>43</v>
      </c>
      <c r="I12" s="15" t="s">
        <v>123</v>
      </c>
      <c r="J12"/>
      <c r="K12"/>
      <c r="L12" s="51"/>
      <c r="M12" s="51"/>
      <c r="Q12"/>
      <c r="R12"/>
    </row>
    <row r="13" spans="1:18" s="40" customFormat="1" x14ac:dyDescent="0.25">
      <c r="A13" s="23" t="s">
        <v>42</v>
      </c>
      <c r="B13" s="23" t="s">
        <v>42</v>
      </c>
      <c r="C13" s="22" t="s">
        <v>21</v>
      </c>
      <c r="D13" s="52"/>
      <c r="E13" s="52"/>
      <c r="F13" s="30"/>
      <c r="G13" s="42">
        <f t="shared" si="0"/>
        <v>0</v>
      </c>
      <c r="H13" t="s">
        <v>43</v>
      </c>
      <c r="I13" s="16"/>
      <c r="J13"/>
      <c r="K13"/>
      <c r="L13" s="51"/>
      <c r="M13" s="51"/>
      <c r="Q13"/>
      <c r="R13"/>
    </row>
    <row r="14" spans="1:18" s="40" customFormat="1" x14ac:dyDescent="0.25">
      <c r="A14" s="23" t="s">
        <v>42</v>
      </c>
      <c r="B14" s="22"/>
      <c r="C14" s="21" t="s">
        <v>19</v>
      </c>
      <c r="D14" s="53">
        <v>565900</v>
      </c>
      <c r="E14" s="52"/>
      <c r="F14" s="30"/>
      <c r="G14" s="42">
        <f t="shared" si="0"/>
        <v>565900</v>
      </c>
      <c r="H14" t="s">
        <v>43</v>
      </c>
      <c r="I14" s="15" t="s">
        <v>124</v>
      </c>
      <c r="J14"/>
      <c r="K14"/>
      <c r="L14" s="51"/>
      <c r="M14" s="51"/>
      <c r="Q14"/>
      <c r="R14"/>
    </row>
    <row r="15" spans="1:18" s="40" customFormat="1" x14ac:dyDescent="0.25">
      <c r="A15" s="23" t="s">
        <v>44</v>
      </c>
      <c r="B15" s="22" t="s">
        <v>45</v>
      </c>
      <c r="C15" s="22" t="s">
        <v>22</v>
      </c>
      <c r="D15" s="52"/>
      <c r="E15" s="30"/>
      <c r="F15" s="30"/>
      <c r="G15" s="42">
        <f t="shared" si="0"/>
        <v>0</v>
      </c>
      <c r="H15" t="s">
        <v>43</v>
      </c>
      <c r="I15" s="16"/>
      <c r="J15"/>
      <c r="K15"/>
      <c r="L15" s="51"/>
      <c r="M15" s="51"/>
      <c r="Q15"/>
      <c r="R15"/>
    </row>
    <row r="16" spans="1:18" s="40" customFormat="1" x14ac:dyDescent="0.25">
      <c r="A16" s="23" t="s">
        <v>44</v>
      </c>
      <c r="B16" s="23" t="s">
        <v>44</v>
      </c>
      <c r="C16" s="22" t="s">
        <v>21</v>
      </c>
      <c r="D16" s="52"/>
      <c r="E16" s="30"/>
      <c r="F16" s="30"/>
      <c r="G16" s="42">
        <f t="shared" si="0"/>
        <v>0</v>
      </c>
      <c r="H16" t="s">
        <v>43</v>
      </c>
      <c r="I16" s="16"/>
      <c r="J16"/>
      <c r="K16"/>
      <c r="L16" s="51"/>
      <c r="M16" s="51"/>
      <c r="Q16"/>
      <c r="R16"/>
    </row>
    <row r="17" spans="1:18" s="40" customFormat="1" x14ac:dyDescent="0.25">
      <c r="A17" s="23" t="s">
        <v>44</v>
      </c>
      <c r="B17" s="22"/>
      <c r="C17" s="21" t="s">
        <v>19</v>
      </c>
      <c r="D17" s="52"/>
      <c r="E17" s="31">
        <v>11640300</v>
      </c>
      <c r="F17" s="30"/>
      <c r="G17" s="42">
        <f t="shared" si="0"/>
        <v>11640300</v>
      </c>
      <c r="H17" t="s">
        <v>43</v>
      </c>
      <c r="I17" s="15" t="s">
        <v>125</v>
      </c>
      <c r="J17"/>
      <c r="K17"/>
      <c r="L17" s="51"/>
      <c r="M17" s="51"/>
      <c r="Q17"/>
      <c r="R17"/>
    </row>
    <row r="18" spans="1:18" s="8" customFormat="1" ht="45" x14ac:dyDescent="0.25">
      <c r="A18" s="14" t="s">
        <v>18</v>
      </c>
      <c r="B18" s="14" t="s">
        <v>18</v>
      </c>
      <c r="C18" s="14"/>
      <c r="D18" s="13">
        <v>3484900</v>
      </c>
      <c r="E18" s="28"/>
      <c r="F18" s="29">
        <v>1725700</v>
      </c>
      <c r="G18" s="29">
        <f t="shared" si="0"/>
        <v>5210600</v>
      </c>
      <c r="H18" s="10"/>
      <c r="I18" s="73" t="s">
        <v>126</v>
      </c>
      <c r="J18" s="10"/>
      <c r="K18" s="10"/>
      <c r="L18" s="26"/>
      <c r="M18" s="26"/>
      <c r="Q18" s="10"/>
      <c r="R18" s="10"/>
    </row>
    <row r="19" spans="1:18" s="40" customFormat="1" x14ac:dyDescent="0.25">
      <c r="B19"/>
      <c r="C19"/>
      <c r="D19" s="1">
        <f>SUM(D3:D18)</f>
        <v>5025300</v>
      </c>
      <c r="E19" s="1">
        <f>SUM(E3:E18)</f>
        <v>11640300</v>
      </c>
      <c r="F19" s="1">
        <f>SUM(F3:F18)</f>
        <v>12081000</v>
      </c>
      <c r="G19" s="1">
        <f>SUM(G3:G18)</f>
        <v>28746600</v>
      </c>
      <c r="H19"/>
      <c r="I19" s="16"/>
      <c r="J19" s="6">
        <v>28746600</v>
      </c>
      <c r="K19" s="5">
        <f>G19-J19</f>
        <v>0</v>
      </c>
      <c r="L19"/>
      <c r="M19" s="4"/>
      <c r="Q19"/>
    </row>
    <row r="20" spans="1:18" s="40" customFormat="1" x14ac:dyDescent="0.25">
      <c r="B20"/>
      <c r="C20"/>
      <c r="D20" s="1"/>
      <c r="E20" s="1"/>
      <c r="F20" s="1"/>
      <c r="G20" s="3"/>
      <c r="H20"/>
      <c r="I20" s="16"/>
      <c r="J20" s="6"/>
      <c r="K20" s="25"/>
      <c r="L20"/>
      <c r="M20" s="4"/>
      <c r="Q20"/>
    </row>
    <row r="21" spans="1:18" s="40" customFormat="1" x14ac:dyDescent="0.25">
      <c r="B21" s="45" t="s">
        <v>17</v>
      </c>
      <c r="C21" s="45"/>
      <c r="D21" s="44" t="s">
        <v>55</v>
      </c>
      <c r="E21" s="44" t="s">
        <v>56</v>
      </c>
      <c r="F21" s="44" t="s">
        <v>67</v>
      </c>
      <c r="G21" s="44" t="s">
        <v>30</v>
      </c>
      <c r="H21"/>
      <c r="I21" s="16"/>
      <c r="J21" s="6"/>
      <c r="K21" s="25"/>
      <c r="L21"/>
      <c r="M21" s="4"/>
      <c r="Q21"/>
    </row>
    <row r="22" spans="1:18" s="40" customFormat="1" x14ac:dyDescent="0.25">
      <c r="B22" s="43" t="s">
        <v>11</v>
      </c>
      <c r="C22" s="22"/>
      <c r="D22" s="43">
        <f>+D19</f>
        <v>5025300</v>
      </c>
      <c r="E22" s="43">
        <f t="shared" ref="E22:F22" si="1">+E19</f>
        <v>11640300</v>
      </c>
      <c r="F22" s="43">
        <f t="shared" si="1"/>
        <v>12081000</v>
      </c>
      <c r="G22" s="43">
        <f t="shared" ref="G22:G31" si="2">SUM(D22:F22)</f>
        <v>28746600</v>
      </c>
      <c r="H22"/>
      <c r="I22" s="16"/>
      <c r="J22" s="6"/>
      <c r="K22" s="25"/>
      <c r="L22"/>
      <c r="M22" s="4"/>
      <c r="Q22"/>
    </row>
    <row r="23" spans="1:18" s="40" customFormat="1" x14ac:dyDescent="0.25">
      <c r="B23" s="22" t="s">
        <v>10</v>
      </c>
      <c r="C23" s="22"/>
      <c r="D23" s="43">
        <v>6525300</v>
      </c>
      <c r="E23" s="37">
        <v>11640300</v>
      </c>
      <c r="F23" s="37">
        <v>10581000</v>
      </c>
      <c r="G23" s="43">
        <f t="shared" si="2"/>
        <v>28746600</v>
      </c>
      <c r="H23"/>
      <c r="I23" s="16"/>
      <c r="J23" s="6"/>
      <c r="K23" s="25"/>
      <c r="L23"/>
      <c r="M23" s="4"/>
      <c r="Q23"/>
    </row>
    <row r="24" spans="1:18" s="40" customFormat="1" x14ac:dyDescent="0.25">
      <c r="B24" s="22" t="s">
        <v>9</v>
      </c>
      <c r="C24" s="22"/>
      <c r="D24" s="43">
        <v>2</v>
      </c>
      <c r="E24" s="37">
        <v>1</v>
      </c>
      <c r="F24" s="37">
        <v>3</v>
      </c>
      <c r="G24" s="43">
        <f t="shared" si="2"/>
        <v>6</v>
      </c>
      <c r="H24"/>
      <c r="I24" s="16"/>
      <c r="J24" s="6"/>
      <c r="K24" s="25"/>
      <c r="L24"/>
      <c r="M24" s="4"/>
      <c r="Q24"/>
    </row>
    <row r="25" spans="1:18" s="40" customFormat="1" x14ac:dyDescent="0.25">
      <c r="B25" s="22" t="s">
        <v>8</v>
      </c>
      <c r="C25" s="22"/>
      <c r="D25" s="43">
        <f>+D11</f>
        <v>472300</v>
      </c>
      <c r="E25" s="37"/>
      <c r="F25" s="37">
        <f>SUM(F3:F8)</f>
        <v>10355300</v>
      </c>
      <c r="G25" s="43">
        <f t="shared" si="2"/>
        <v>10827600</v>
      </c>
      <c r="H25"/>
      <c r="I25" s="16"/>
      <c r="J25" s="6"/>
      <c r="K25" s="25"/>
      <c r="L25"/>
      <c r="M25" s="4"/>
      <c r="Q25"/>
    </row>
    <row r="26" spans="1:18" s="40" customFormat="1" x14ac:dyDescent="0.25">
      <c r="B26" s="46" t="s">
        <v>7</v>
      </c>
      <c r="C26" s="22"/>
      <c r="D26" s="43"/>
      <c r="E26" s="37">
        <f>+E17</f>
        <v>11640300</v>
      </c>
      <c r="F26" s="37"/>
      <c r="G26" s="43">
        <f t="shared" si="2"/>
        <v>11640300</v>
      </c>
      <c r="H26"/>
      <c r="I26" s="16"/>
      <c r="J26" s="6"/>
      <c r="K26" s="25"/>
      <c r="L26"/>
      <c r="M26" s="4"/>
      <c r="Q26"/>
    </row>
    <row r="27" spans="1:18" s="40" customFormat="1" x14ac:dyDescent="0.25">
      <c r="B27" s="46" t="s">
        <v>39</v>
      </c>
      <c r="C27" s="22"/>
      <c r="D27" s="43">
        <f>SUM(D12:D14)</f>
        <v>1068100</v>
      </c>
      <c r="E27" s="37"/>
      <c r="F27" s="37"/>
      <c r="G27" s="43">
        <f t="shared" si="2"/>
        <v>1068100</v>
      </c>
      <c r="H27"/>
      <c r="I27" s="16"/>
      <c r="J27" s="6"/>
      <c r="K27" s="25"/>
      <c r="L27"/>
      <c r="M27" s="4"/>
      <c r="Q27"/>
    </row>
    <row r="28" spans="1:18" s="40" customFormat="1" x14ac:dyDescent="0.25">
      <c r="B28" s="22" t="s">
        <v>6</v>
      </c>
      <c r="C28" s="22"/>
      <c r="D28" s="43">
        <f>+D18</f>
        <v>3484900</v>
      </c>
      <c r="E28" s="43">
        <f>+E18</f>
        <v>0</v>
      </c>
      <c r="F28" s="43">
        <f>+F18</f>
        <v>1725700</v>
      </c>
      <c r="G28" s="43">
        <f t="shared" si="2"/>
        <v>5210600</v>
      </c>
      <c r="H28"/>
      <c r="I28" s="16"/>
      <c r="J28" s="6"/>
      <c r="K28" s="25"/>
      <c r="L28"/>
      <c r="M28" s="4"/>
      <c r="Q28"/>
    </row>
    <row r="29" spans="1:18" s="40" customFormat="1" x14ac:dyDescent="0.25">
      <c r="B29" s="22" t="s">
        <v>5</v>
      </c>
      <c r="C29" s="22"/>
      <c r="D29" s="43">
        <f>SUM(D25:D28)</f>
        <v>5025300</v>
      </c>
      <c r="E29" s="43">
        <f>SUM(E25:E28)</f>
        <v>11640300</v>
      </c>
      <c r="F29" s="43">
        <f>SUM(F25:F28)</f>
        <v>12081000</v>
      </c>
      <c r="G29" s="43">
        <f t="shared" si="2"/>
        <v>28746600</v>
      </c>
      <c r="H29"/>
      <c r="I29" s="16"/>
      <c r="J29" s="51"/>
      <c r="K29" s="25"/>
      <c r="L29"/>
      <c r="M29" s="4"/>
      <c r="Q29"/>
    </row>
    <row r="30" spans="1:18" s="40" customFormat="1" x14ac:dyDescent="0.25">
      <c r="B30" s="22" t="s">
        <v>4</v>
      </c>
      <c r="C30" s="22"/>
      <c r="D30" s="43">
        <f>D23-D29</f>
        <v>1500000</v>
      </c>
      <c r="E30" s="43">
        <f>E23-E29</f>
        <v>0</v>
      </c>
      <c r="F30" s="43">
        <f>F23-F29</f>
        <v>-1500000</v>
      </c>
      <c r="G30" s="43">
        <f t="shared" si="2"/>
        <v>0</v>
      </c>
      <c r="H30"/>
      <c r="I30" s="16"/>
      <c r="J30" s="51"/>
      <c r="K30" s="25"/>
      <c r="L30" s="4"/>
      <c r="M30" s="4"/>
      <c r="Q30"/>
    </row>
    <row r="31" spans="1:18" s="40" customFormat="1" x14ac:dyDescent="0.25">
      <c r="B31" s="22" t="s">
        <v>3</v>
      </c>
      <c r="C31" s="22"/>
      <c r="D31" s="43">
        <v>19</v>
      </c>
      <c r="E31" s="43">
        <v>7</v>
      </c>
      <c r="F31" s="43">
        <v>20</v>
      </c>
      <c r="G31" s="43">
        <f t="shared" si="2"/>
        <v>46</v>
      </c>
      <c r="H31"/>
      <c r="I31" s="16"/>
      <c r="J31"/>
      <c r="K31"/>
      <c r="L31"/>
      <c r="M31"/>
      <c r="Q31"/>
    </row>
    <row r="32" spans="1:18" s="40" customFormat="1" x14ac:dyDescent="0.25">
      <c r="B32"/>
      <c r="C32"/>
      <c r="G32"/>
      <c r="H32"/>
      <c r="I32" s="16"/>
      <c r="J32"/>
      <c r="K32"/>
      <c r="L32" s="4"/>
      <c r="M32"/>
      <c r="Q32"/>
    </row>
    <row r="33" spans="1:17" s="40" customFormat="1" x14ac:dyDescent="0.25">
      <c r="B33" t="s">
        <v>1</v>
      </c>
      <c r="C33"/>
      <c r="G33"/>
      <c r="H33" s="4"/>
      <c r="I33" s="71"/>
      <c r="J33"/>
      <c r="K33"/>
      <c r="L33" s="4"/>
      <c r="M33" s="4"/>
      <c r="Q33"/>
    </row>
    <row r="34" spans="1:17" s="40" customFormat="1" x14ac:dyDescent="0.25">
      <c r="B34" t="s">
        <v>0</v>
      </c>
      <c r="C34"/>
      <c r="G34"/>
      <c r="H34"/>
      <c r="I34" s="16"/>
      <c r="J34"/>
      <c r="K34"/>
      <c r="L34" s="6"/>
      <c r="M34" s="4"/>
      <c r="Q34"/>
    </row>
    <row r="35" spans="1:17" s="40" customFormat="1" x14ac:dyDescent="0.25">
      <c r="B35"/>
      <c r="C35"/>
      <c r="E35"/>
      <c r="F35"/>
      <c r="G35"/>
      <c r="H35"/>
      <c r="I35" s="16"/>
      <c r="J35"/>
      <c r="K35"/>
      <c r="L35" s="6"/>
      <c r="M35" s="4"/>
      <c r="Q35"/>
    </row>
    <row r="36" spans="1:17" s="40" customFormat="1" x14ac:dyDescent="0.25">
      <c r="B36"/>
      <c r="C36"/>
      <c r="E36"/>
      <c r="F36"/>
      <c r="G36"/>
      <c r="H36"/>
      <c r="I36" s="16"/>
      <c r="J36"/>
      <c r="K36"/>
      <c r="L36" s="6"/>
      <c r="M36" s="4"/>
      <c r="Q36"/>
    </row>
    <row r="37" spans="1:17" s="40" customFormat="1" x14ac:dyDescent="0.25">
      <c r="B37"/>
      <c r="C37"/>
      <c r="E37" s="2" t="s">
        <v>127</v>
      </c>
      <c r="F37"/>
      <c r="G37"/>
      <c r="H37"/>
      <c r="I37" s="16"/>
      <c r="J37"/>
      <c r="K37"/>
      <c r="L37" s="6"/>
      <c r="M37" s="4"/>
      <c r="Q37"/>
    </row>
    <row r="38" spans="1:17" s="40" customFormat="1" x14ac:dyDescent="0.25">
      <c r="B38" s="45" t="s">
        <v>36</v>
      </c>
      <c r="C38" s="45" t="s">
        <v>35</v>
      </c>
      <c r="D38" s="44" t="s">
        <v>34</v>
      </c>
      <c r="E38" s="54" t="s">
        <v>33</v>
      </c>
      <c r="F38" s="54" t="s">
        <v>32</v>
      </c>
      <c r="G38" s="34" t="s">
        <v>30</v>
      </c>
      <c r="H38" s="34" t="s">
        <v>29</v>
      </c>
      <c r="I38" s="70" t="s">
        <v>28</v>
      </c>
      <c r="J38" s="34" t="s">
        <v>27</v>
      </c>
      <c r="K38" s="34" t="s">
        <v>4</v>
      </c>
      <c r="L38" s="6"/>
      <c r="M38" s="4"/>
      <c r="Q38"/>
    </row>
    <row r="39" spans="1:17" s="40" customFormat="1" x14ac:dyDescent="0.25">
      <c r="A39" s="23" t="s">
        <v>25</v>
      </c>
      <c r="B39" s="22" t="s">
        <v>26</v>
      </c>
      <c r="C39" s="21" t="s">
        <v>22</v>
      </c>
      <c r="D39" s="48">
        <v>1260000</v>
      </c>
      <c r="E39" s="43"/>
      <c r="F39" s="47"/>
      <c r="G39" s="19">
        <f t="shared" ref="G39:G46" si="3">SUM(D39:F39)</f>
        <v>1260000</v>
      </c>
      <c r="H39" s="40" t="s">
        <v>24</v>
      </c>
      <c r="I39" s="74" t="s">
        <v>128</v>
      </c>
      <c r="J39"/>
      <c r="K39"/>
      <c r="L39"/>
      <c r="M39" s="4"/>
      <c r="Q39"/>
    </row>
    <row r="40" spans="1:17" s="40" customFormat="1" x14ac:dyDescent="0.25">
      <c r="A40" s="23" t="s">
        <v>25</v>
      </c>
      <c r="B40" s="23" t="s">
        <v>25</v>
      </c>
      <c r="C40" s="22" t="s">
        <v>21</v>
      </c>
      <c r="D40" s="42"/>
      <c r="E40" s="43"/>
      <c r="F40" s="47"/>
      <c r="G40" s="19">
        <f t="shared" si="3"/>
        <v>0</v>
      </c>
      <c r="H40" s="40" t="s">
        <v>24</v>
      </c>
      <c r="I40" s="72"/>
      <c r="J40"/>
      <c r="K40"/>
      <c r="L40"/>
      <c r="M40" s="4"/>
      <c r="Q40"/>
    </row>
    <row r="41" spans="1:17" s="40" customFormat="1" x14ac:dyDescent="0.25">
      <c r="A41" s="23" t="s">
        <v>25</v>
      </c>
      <c r="B41" s="22"/>
      <c r="C41" s="21" t="s">
        <v>19</v>
      </c>
      <c r="D41" s="48">
        <v>8820000</v>
      </c>
      <c r="E41" s="43"/>
      <c r="F41" s="47"/>
      <c r="G41" s="19">
        <f t="shared" si="3"/>
        <v>8820000</v>
      </c>
      <c r="H41" s="40" t="s">
        <v>24</v>
      </c>
      <c r="I41" s="74" t="s">
        <v>129</v>
      </c>
      <c r="J41"/>
      <c r="K41"/>
      <c r="L41"/>
      <c r="M41" s="4"/>
      <c r="Q41"/>
    </row>
    <row r="42" spans="1:17" s="40" customFormat="1" x14ac:dyDescent="0.25">
      <c r="A42" s="23" t="s">
        <v>77</v>
      </c>
      <c r="B42" s="22" t="s">
        <v>76</v>
      </c>
      <c r="C42" s="21" t="s">
        <v>22</v>
      </c>
      <c r="D42" s="48">
        <v>4620000</v>
      </c>
      <c r="E42" s="43"/>
      <c r="F42" s="47"/>
      <c r="G42" s="19">
        <f t="shared" si="3"/>
        <v>4620000</v>
      </c>
      <c r="H42" s="40" t="s">
        <v>24</v>
      </c>
      <c r="I42" s="76" t="s">
        <v>130</v>
      </c>
      <c r="J42"/>
      <c r="K42"/>
      <c r="L42"/>
      <c r="M42" s="4"/>
      <c r="Q42"/>
    </row>
    <row r="43" spans="1:17" s="40" customFormat="1" x14ac:dyDescent="0.25">
      <c r="A43" s="23" t="s">
        <v>77</v>
      </c>
      <c r="B43" s="23" t="s">
        <v>77</v>
      </c>
      <c r="C43" s="46" t="s">
        <v>21</v>
      </c>
      <c r="D43" s="42"/>
      <c r="E43" s="43"/>
      <c r="F43" s="47"/>
      <c r="G43" s="19">
        <f t="shared" si="3"/>
        <v>0</v>
      </c>
      <c r="H43" s="40" t="s">
        <v>24</v>
      </c>
      <c r="I43" s="16"/>
      <c r="J43"/>
      <c r="K43"/>
      <c r="L43" s="4"/>
      <c r="M43" s="4"/>
      <c r="Q43"/>
    </row>
    <row r="44" spans="1:17" s="40" customFormat="1" x14ac:dyDescent="0.25">
      <c r="A44" s="23" t="s">
        <v>77</v>
      </c>
      <c r="B44" s="22"/>
      <c r="C44" s="49" t="s">
        <v>19</v>
      </c>
      <c r="D44" s="48">
        <v>2730000</v>
      </c>
      <c r="E44" s="43"/>
      <c r="F44" s="47"/>
      <c r="G44" s="19">
        <f t="shared" si="3"/>
        <v>2730000</v>
      </c>
      <c r="H44" s="40" t="s">
        <v>24</v>
      </c>
      <c r="I44" s="76" t="s">
        <v>131</v>
      </c>
      <c r="J44"/>
      <c r="K44"/>
      <c r="L44"/>
      <c r="M44" s="4"/>
      <c r="Q44"/>
    </row>
    <row r="45" spans="1:17" s="8" customFormat="1" x14ac:dyDescent="0.25">
      <c r="A45" s="14" t="s">
        <v>18</v>
      </c>
      <c r="B45" s="14" t="s">
        <v>18</v>
      </c>
      <c r="C45" s="14"/>
      <c r="D45" s="12"/>
      <c r="E45" s="12"/>
      <c r="F45" s="12"/>
      <c r="G45" s="29">
        <f t="shared" si="3"/>
        <v>0</v>
      </c>
      <c r="H45" s="10"/>
      <c r="I45" s="39"/>
      <c r="J45" s="10"/>
      <c r="K45" s="10"/>
      <c r="L45" s="10"/>
      <c r="M45" s="9"/>
    </row>
    <row r="46" spans="1:17" s="40" customFormat="1" x14ac:dyDescent="0.25">
      <c r="B46"/>
      <c r="C46"/>
      <c r="D46" s="7">
        <f>SUM(D39:D45)</f>
        <v>17430000</v>
      </c>
      <c r="E46" s="7">
        <f>SUM(E39:E45)</f>
        <v>0</v>
      </c>
      <c r="F46" s="7">
        <f>SUM(F39:F45)</f>
        <v>0</v>
      </c>
      <c r="G46" s="19">
        <f t="shared" si="3"/>
        <v>17430000</v>
      </c>
      <c r="H46"/>
      <c r="I46" s="16"/>
      <c r="J46" s="6">
        <v>18270000</v>
      </c>
      <c r="K46" s="5">
        <f>G46-J46</f>
        <v>-840000</v>
      </c>
      <c r="L46" s="5"/>
      <c r="M46" s="4"/>
    </row>
    <row r="47" spans="1:17" s="40" customFormat="1" x14ac:dyDescent="0.25">
      <c r="B47" s="2" t="s">
        <v>60</v>
      </c>
      <c r="C47"/>
      <c r="D47" s="7"/>
      <c r="E47" s="7"/>
      <c r="F47" s="7"/>
      <c r="G47" s="3"/>
      <c r="H47"/>
      <c r="I47" s="16"/>
      <c r="J47" s="6"/>
      <c r="K47" s="5"/>
      <c r="L47" s="5"/>
      <c r="M47" s="4"/>
    </row>
    <row r="48" spans="1:17" s="40" customFormat="1" x14ac:dyDescent="0.25">
      <c r="B48" t="s">
        <v>132</v>
      </c>
      <c r="C48"/>
      <c r="D48" s="7"/>
      <c r="E48" s="7"/>
      <c r="F48" s="7"/>
      <c r="G48" s="3"/>
      <c r="H48"/>
      <c r="I48" s="16"/>
      <c r="J48" s="6"/>
      <c r="K48" s="5"/>
      <c r="L48" s="5"/>
      <c r="M48" s="4"/>
    </row>
    <row r="49" spans="2:18" s="40" customFormat="1" x14ac:dyDescent="0.25">
      <c r="B49"/>
      <c r="C49"/>
      <c r="D49" s="7"/>
      <c r="E49" s="7"/>
      <c r="F49" s="7"/>
      <c r="G49" s="3"/>
      <c r="H49"/>
      <c r="I49" s="16"/>
      <c r="J49" s="6"/>
      <c r="K49" s="5"/>
      <c r="L49" s="5"/>
      <c r="M49" s="4"/>
    </row>
    <row r="50" spans="2:18" s="40" customFormat="1" x14ac:dyDescent="0.25">
      <c r="B50"/>
      <c r="C50"/>
      <c r="G50"/>
      <c r="H50"/>
      <c r="I50" s="16"/>
      <c r="J50"/>
      <c r="K50" s="4"/>
      <c r="L50"/>
      <c r="M50" s="4"/>
    </row>
    <row r="51" spans="2:18" s="40" customFormat="1" x14ac:dyDescent="0.25">
      <c r="B51"/>
      <c r="C51"/>
      <c r="G51" s="4"/>
      <c r="H51"/>
      <c r="I51" s="16"/>
      <c r="J51"/>
      <c r="K51" s="4"/>
      <c r="L51"/>
      <c r="M51"/>
    </row>
    <row r="52" spans="2:18" s="40" customFormat="1" x14ac:dyDescent="0.25">
      <c r="B52" s="45" t="s">
        <v>17</v>
      </c>
      <c r="C52" s="45"/>
      <c r="D52" s="44" t="s">
        <v>133</v>
      </c>
      <c r="E52" s="44" t="s">
        <v>56</v>
      </c>
      <c r="F52" s="44" t="s">
        <v>67</v>
      </c>
      <c r="G52" s="44" t="s">
        <v>12</v>
      </c>
      <c r="H52"/>
      <c r="I52" s="16"/>
      <c r="J52"/>
      <c r="K52"/>
      <c r="L52"/>
      <c r="M52"/>
    </row>
    <row r="53" spans="2:18" s="40" customFormat="1" x14ac:dyDescent="0.25">
      <c r="B53" s="22" t="s">
        <v>11</v>
      </c>
      <c r="C53" s="22"/>
      <c r="D53" s="43">
        <f>+D46</f>
        <v>17430000</v>
      </c>
      <c r="E53" s="43">
        <f>+E46</f>
        <v>0</v>
      </c>
      <c r="F53" s="43">
        <f>+F46</f>
        <v>0</v>
      </c>
      <c r="G53" s="68">
        <f t="shared" ref="G53:G60" si="4">SUM(D53:F53)</f>
        <v>17430000</v>
      </c>
      <c r="H53"/>
      <c r="I53" s="16"/>
      <c r="J53"/>
      <c r="K53"/>
      <c r="L53"/>
      <c r="M53"/>
      <c r="Q53"/>
      <c r="R53"/>
    </row>
    <row r="54" spans="2:18" x14ac:dyDescent="0.25">
      <c r="B54" s="22" t="s">
        <v>10</v>
      </c>
      <c r="C54" s="22"/>
      <c r="D54" s="43">
        <v>17430000</v>
      </c>
      <c r="E54" s="37"/>
      <c r="F54" s="37">
        <v>840000</v>
      </c>
      <c r="G54" s="68">
        <f t="shared" si="4"/>
        <v>18270000</v>
      </c>
    </row>
    <row r="55" spans="2:18" x14ac:dyDescent="0.25">
      <c r="B55" s="22" t="s">
        <v>9</v>
      </c>
      <c r="C55" s="22"/>
      <c r="D55" s="43">
        <v>2</v>
      </c>
      <c r="E55" s="37"/>
      <c r="F55" s="37"/>
      <c r="G55" s="68">
        <f t="shared" si="4"/>
        <v>2</v>
      </c>
    </row>
    <row r="56" spans="2:18" x14ac:dyDescent="0.25">
      <c r="B56" s="22" t="s">
        <v>134</v>
      </c>
      <c r="C56" s="22"/>
      <c r="D56" s="43">
        <f>SUM(D42:D44)</f>
        <v>7350000</v>
      </c>
      <c r="E56" s="37"/>
      <c r="F56" s="37"/>
      <c r="G56" s="68">
        <f t="shared" si="4"/>
        <v>7350000</v>
      </c>
    </row>
    <row r="57" spans="2:18" x14ac:dyDescent="0.25">
      <c r="B57" s="22" t="s">
        <v>7</v>
      </c>
      <c r="C57" s="22"/>
      <c r="D57" s="43">
        <f>SUM(D39:D41)</f>
        <v>10080000</v>
      </c>
      <c r="E57" s="37"/>
      <c r="F57" s="37"/>
      <c r="G57" s="68">
        <f t="shared" si="4"/>
        <v>10080000</v>
      </c>
    </row>
    <row r="58" spans="2:18" x14ac:dyDescent="0.25">
      <c r="B58" s="22" t="s">
        <v>5</v>
      </c>
      <c r="C58" s="22"/>
      <c r="D58" s="43">
        <f>SUM(D56:D57)</f>
        <v>17430000</v>
      </c>
      <c r="E58" s="43">
        <f>SUM(E56:E57)</f>
        <v>0</v>
      </c>
      <c r="F58" s="43">
        <f>SUM(F56:F57)</f>
        <v>0</v>
      </c>
      <c r="G58" s="68">
        <f t="shared" si="4"/>
        <v>17430000</v>
      </c>
    </row>
    <row r="59" spans="2:18" x14ac:dyDescent="0.25">
      <c r="B59" s="22" t="s">
        <v>4</v>
      </c>
      <c r="C59" s="22"/>
      <c r="D59" s="43">
        <f>D54-D58</f>
        <v>0</v>
      </c>
      <c r="E59" s="43">
        <f>E54-E58</f>
        <v>0</v>
      </c>
      <c r="F59" s="43">
        <f>F54-F58</f>
        <v>840000</v>
      </c>
      <c r="G59" s="68">
        <f t="shared" si="4"/>
        <v>840000</v>
      </c>
    </row>
    <row r="60" spans="2:18" x14ac:dyDescent="0.25">
      <c r="B60" s="22" t="s">
        <v>3</v>
      </c>
      <c r="C60" s="22"/>
      <c r="D60" s="43">
        <v>6</v>
      </c>
      <c r="E60" s="43"/>
      <c r="F60" s="43">
        <v>2</v>
      </c>
      <c r="G60" s="68">
        <f t="shared" si="4"/>
        <v>8</v>
      </c>
    </row>
    <row r="62" spans="2:18" x14ac:dyDescent="0.25">
      <c r="E62"/>
      <c r="F62"/>
    </row>
    <row r="63" spans="2:18" x14ac:dyDescent="0.25">
      <c r="B63" t="s">
        <v>2</v>
      </c>
    </row>
    <row r="64" spans="2:18" x14ac:dyDescent="0.25">
      <c r="B64" t="s">
        <v>1</v>
      </c>
    </row>
    <row r="65" spans="2:7" x14ac:dyDescent="0.25">
      <c r="B65" t="s">
        <v>0</v>
      </c>
      <c r="G65" s="83">
        <f>+G46+G19</f>
        <v>46176600</v>
      </c>
    </row>
  </sheetData>
  <pageMargins left="0.7" right="0.7" top="0.75" bottom="0.75" header="0.3" footer="0.3"/>
  <pageSetup scale="5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4E60C-5065-4F02-90CB-1A8C44C3DCC7}">
  <sheetPr>
    <tabColor theme="1"/>
  </sheetPr>
  <dimension ref="A1:F39"/>
  <sheetViews>
    <sheetView workbookViewId="0">
      <pane xSplit="1" ySplit="1" topLeftCell="B2" activePane="bottomRight" state="frozen"/>
      <selection activeCell="B67" sqref="B67"/>
      <selection pane="topRight" activeCell="B67" sqref="B67"/>
      <selection pane="bottomLeft" activeCell="B67" sqref="B67"/>
      <selection pane="bottomRight" activeCell="B67" sqref="B67"/>
    </sheetView>
  </sheetViews>
  <sheetFormatPr defaultRowHeight="15" x14ac:dyDescent="0.25"/>
  <cols>
    <col min="1" max="1" width="13.5703125" customWidth="1"/>
    <col min="2" max="2" width="15.140625" customWidth="1"/>
    <col min="3" max="4" width="12.5703125" style="64" bestFit="1" customWidth="1"/>
    <col min="5" max="5" width="3.140625" bestFit="1" customWidth="1"/>
    <col min="6" max="6" width="12.5703125" bestFit="1" customWidth="1"/>
  </cols>
  <sheetData>
    <row r="1" spans="1:6" x14ac:dyDescent="0.25">
      <c r="A1" s="65" t="s">
        <v>75</v>
      </c>
      <c r="B1" s="66" t="s">
        <v>74</v>
      </c>
    </row>
    <row r="2" spans="1:6" x14ac:dyDescent="0.25">
      <c r="A2" s="67">
        <v>46082</v>
      </c>
      <c r="B2" s="60">
        <f>38335900+7740000</f>
        <v>46075900</v>
      </c>
      <c r="C2" s="64">
        <f>+B2-'01'!I84</f>
        <v>990000</v>
      </c>
      <c r="D2" s="62">
        <v>-990000</v>
      </c>
      <c r="E2" s="61">
        <f>+C2+D2</f>
        <v>0</v>
      </c>
      <c r="F2" t="s">
        <v>100</v>
      </c>
    </row>
    <row r="3" spans="1:6" x14ac:dyDescent="0.25">
      <c r="A3" s="67">
        <v>46083</v>
      </c>
      <c r="B3" s="60">
        <f>11766700+22650000</f>
        <v>34416700</v>
      </c>
      <c r="C3" s="64">
        <f>+B3-'02'!I69</f>
        <v>1350000</v>
      </c>
      <c r="D3" s="62">
        <v>-1350000</v>
      </c>
      <c r="E3" s="61">
        <f t="shared" ref="E3:E32" si="0">+C3+D3</f>
        <v>0</v>
      </c>
      <c r="F3" t="s">
        <v>116</v>
      </c>
    </row>
    <row r="4" spans="1:6" x14ac:dyDescent="0.25">
      <c r="A4" s="67">
        <v>46084</v>
      </c>
      <c r="B4" s="60">
        <f>28746600+18270000</f>
        <v>47016600</v>
      </c>
      <c r="C4" s="64">
        <f>+B4-'03'!G65</f>
        <v>840000</v>
      </c>
      <c r="D4" s="62">
        <v>-840000</v>
      </c>
      <c r="E4" s="61">
        <f t="shared" si="0"/>
        <v>0</v>
      </c>
      <c r="F4" t="s">
        <v>132</v>
      </c>
    </row>
    <row r="5" spans="1:6" x14ac:dyDescent="0.25">
      <c r="A5" s="67">
        <v>46085</v>
      </c>
      <c r="B5" s="60">
        <v>0</v>
      </c>
      <c r="D5" s="62">
        <v>0</v>
      </c>
      <c r="E5" s="61">
        <f t="shared" si="0"/>
        <v>0</v>
      </c>
      <c r="F5" s="63"/>
    </row>
    <row r="6" spans="1:6" x14ac:dyDescent="0.25">
      <c r="A6" s="67">
        <v>46086</v>
      </c>
      <c r="B6" s="60">
        <v>0</v>
      </c>
      <c r="D6" s="62">
        <v>0</v>
      </c>
      <c r="E6" s="61">
        <f t="shared" si="0"/>
        <v>0</v>
      </c>
      <c r="F6" s="63"/>
    </row>
    <row r="7" spans="1:6" x14ac:dyDescent="0.25">
      <c r="A7" s="67">
        <v>46087</v>
      </c>
      <c r="B7" s="60">
        <v>0</v>
      </c>
      <c r="D7" s="62">
        <v>0</v>
      </c>
      <c r="E7" s="61">
        <f t="shared" si="0"/>
        <v>0</v>
      </c>
    </row>
    <row r="8" spans="1:6" x14ac:dyDescent="0.25">
      <c r="A8" s="67">
        <v>46088</v>
      </c>
      <c r="B8" s="60">
        <v>0</v>
      </c>
      <c r="D8" s="62">
        <v>0</v>
      </c>
      <c r="E8" s="61">
        <f t="shared" si="0"/>
        <v>0</v>
      </c>
    </row>
    <row r="9" spans="1:6" x14ac:dyDescent="0.25">
      <c r="A9" s="67">
        <v>46089</v>
      </c>
      <c r="B9" s="60">
        <v>0</v>
      </c>
      <c r="D9" s="62">
        <v>0</v>
      </c>
      <c r="E9" s="61">
        <f t="shared" si="0"/>
        <v>0</v>
      </c>
    </row>
    <row r="10" spans="1:6" x14ac:dyDescent="0.25">
      <c r="A10" s="67">
        <v>46090</v>
      </c>
      <c r="B10" s="60">
        <v>0</v>
      </c>
      <c r="D10" s="62">
        <v>0</v>
      </c>
      <c r="E10" s="61">
        <f t="shared" si="0"/>
        <v>0</v>
      </c>
    </row>
    <row r="11" spans="1:6" x14ac:dyDescent="0.25">
      <c r="A11" s="67">
        <v>46091</v>
      </c>
      <c r="B11" s="60">
        <v>0</v>
      </c>
      <c r="D11" s="62">
        <v>0</v>
      </c>
      <c r="E11" s="61">
        <f t="shared" si="0"/>
        <v>0</v>
      </c>
    </row>
    <row r="12" spans="1:6" x14ac:dyDescent="0.25">
      <c r="A12" s="67">
        <v>46092</v>
      </c>
      <c r="B12" s="60">
        <v>0</v>
      </c>
      <c r="D12" s="62">
        <v>0</v>
      </c>
      <c r="E12" s="61">
        <f t="shared" si="0"/>
        <v>0</v>
      </c>
    </row>
    <row r="13" spans="1:6" x14ac:dyDescent="0.25">
      <c r="A13" s="67">
        <v>46093</v>
      </c>
      <c r="B13" s="60">
        <v>0</v>
      </c>
      <c r="D13" s="62">
        <v>0</v>
      </c>
      <c r="E13" s="61">
        <f t="shared" si="0"/>
        <v>0</v>
      </c>
    </row>
    <row r="14" spans="1:6" x14ac:dyDescent="0.25">
      <c r="A14" s="67">
        <v>46094</v>
      </c>
      <c r="B14" s="60">
        <v>0</v>
      </c>
      <c r="D14" s="62">
        <v>0</v>
      </c>
      <c r="E14" s="61">
        <f t="shared" si="0"/>
        <v>0</v>
      </c>
    </row>
    <row r="15" spans="1:6" x14ac:dyDescent="0.25">
      <c r="A15" s="67">
        <v>46095</v>
      </c>
      <c r="B15" s="60">
        <v>0</v>
      </c>
      <c r="D15" s="62">
        <v>0</v>
      </c>
      <c r="E15" s="61">
        <f t="shared" si="0"/>
        <v>0</v>
      </c>
    </row>
    <row r="16" spans="1:6" x14ac:dyDescent="0.25">
      <c r="A16" s="67">
        <v>46096</v>
      </c>
      <c r="B16" s="60">
        <v>0</v>
      </c>
      <c r="D16" s="62">
        <v>0</v>
      </c>
      <c r="E16" s="61">
        <f t="shared" si="0"/>
        <v>0</v>
      </c>
    </row>
    <row r="17" spans="1:5" x14ac:dyDescent="0.25">
      <c r="A17" s="67">
        <v>46097</v>
      </c>
      <c r="B17" s="60">
        <v>0</v>
      </c>
      <c r="D17" s="62">
        <v>0</v>
      </c>
      <c r="E17" s="61">
        <f t="shared" si="0"/>
        <v>0</v>
      </c>
    </row>
    <row r="18" spans="1:5" x14ac:dyDescent="0.25">
      <c r="A18" s="67">
        <v>46098</v>
      </c>
      <c r="B18" s="60">
        <v>0</v>
      </c>
      <c r="D18" s="62">
        <v>0</v>
      </c>
      <c r="E18" s="61">
        <f t="shared" si="0"/>
        <v>0</v>
      </c>
    </row>
    <row r="19" spans="1:5" x14ac:dyDescent="0.25">
      <c r="A19" s="67">
        <v>46099</v>
      </c>
      <c r="B19" s="60">
        <v>0</v>
      </c>
      <c r="D19" s="62">
        <v>0</v>
      </c>
      <c r="E19" s="61">
        <f t="shared" si="0"/>
        <v>0</v>
      </c>
    </row>
    <row r="20" spans="1:5" x14ac:dyDescent="0.25">
      <c r="A20" s="67">
        <v>46100</v>
      </c>
      <c r="B20" s="60">
        <v>0</v>
      </c>
      <c r="D20" s="62">
        <v>0</v>
      </c>
      <c r="E20" s="61">
        <f t="shared" si="0"/>
        <v>0</v>
      </c>
    </row>
    <row r="21" spans="1:5" x14ac:dyDescent="0.25">
      <c r="A21" s="67">
        <v>46101</v>
      </c>
      <c r="B21" s="60">
        <v>0</v>
      </c>
      <c r="D21" s="62">
        <v>0</v>
      </c>
      <c r="E21" s="61">
        <f t="shared" si="0"/>
        <v>0</v>
      </c>
    </row>
    <row r="22" spans="1:5" x14ac:dyDescent="0.25">
      <c r="A22" s="67">
        <v>46102</v>
      </c>
      <c r="B22" s="60">
        <v>0</v>
      </c>
      <c r="D22" s="62">
        <v>0</v>
      </c>
      <c r="E22" s="61">
        <f t="shared" si="0"/>
        <v>0</v>
      </c>
    </row>
    <row r="23" spans="1:5" x14ac:dyDescent="0.25">
      <c r="A23" s="67">
        <v>46103</v>
      </c>
      <c r="B23" s="60">
        <v>0</v>
      </c>
      <c r="D23" s="62">
        <v>0</v>
      </c>
      <c r="E23" s="61">
        <f t="shared" si="0"/>
        <v>0</v>
      </c>
    </row>
    <row r="24" spans="1:5" x14ac:dyDescent="0.25">
      <c r="A24" s="67">
        <v>46104</v>
      </c>
      <c r="B24" s="60">
        <v>0</v>
      </c>
      <c r="D24" s="62">
        <v>0</v>
      </c>
      <c r="E24" s="61">
        <f t="shared" si="0"/>
        <v>0</v>
      </c>
    </row>
    <row r="25" spans="1:5" x14ac:dyDescent="0.25">
      <c r="A25" s="67">
        <v>46105</v>
      </c>
      <c r="B25" s="60">
        <v>0</v>
      </c>
      <c r="D25" s="62">
        <v>0</v>
      </c>
      <c r="E25" s="61">
        <f t="shared" si="0"/>
        <v>0</v>
      </c>
    </row>
    <row r="26" spans="1:5" x14ac:dyDescent="0.25">
      <c r="A26" s="67">
        <v>46106</v>
      </c>
      <c r="B26" s="60">
        <v>0</v>
      </c>
      <c r="D26" s="62">
        <v>0</v>
      </c>
      <c r="E26" s="61">
        <f t="shared" si="0"/>
        <v>0</v>
      </c>
    </row>
    <row r="27" spans="1:5" x14ac:dyDescent="0.25">
      <c r="A27" s="67">
        <v>46107</v>
      </c>
      <c r="B27" s="60">
        <v>0</v>
      </c>
      <c r="D27" s="62">
        <v>0</v>
      </c>
      <c r="E27" s="61">
        <f t="shared" si="0"/>
        <v>0</v>
      </c>
    </row>
    <row r="28" spans="1:5" x14ac:dyDescent="0.25">
      <c r="A28" s="67">
        <v>46108</v>
      </c>
      <c r="B28" s="60">
        <v>0</v>
      </c>
      <c r="D28" s="62">
        <v>0</v>
      </c>
      <c r="E28" s="61">
        <f t="shared" si="0"/>
        <v>0</v>
      </c>
    </row>
    <row r="29" spans="1:5" x14ac:dyDescent="0.25">
      <c r="A29" s="67">
        <v>46109</v>
      </c>
      <c r="B29" s="60">
        <v>0</v>
      </c>
      <c r="D29" s="62">
        <v>0</v>
      </c>
      <c r="E29" s="61">
        <f t="shared" si="0"/>
        <v>0</v>
      </c>
    </row>
    <row r="30" spans="1:5" x14ac:dyDescent="0.25">
      <c r="A30" s="67">
        <v>46110</v>
      </c>
      <c r="B30" s="60">
        <v>0</v>
      </c>
      <c r="D30" s="62">
        <v>0</v>
      </c>
      <c r="E30" s="61">
        <f t="shared" si="0"/>
        <v>0</v>
      </c>
    </row>
    <row r="31" spans="1:5" x14ac:dyDescent="0.25">
      <c r="A31" s="67">
        <v>46111</v>
      </c>
      <c r="B31" s="60">
        <v>0</v>
      </c>
      <c r="D31" s="62">
        <v>0</v>
      </c>
      <c r="E31" s="61">
        <f t="shared" si="0"/>
        <v>0</v>
      </c>
    </row>
    <row r="32" spans="1:5" x14ac:dyDescent="0.25">
      <c r="A32" s="67">
        <v>46112</v>
      </c>
      <c r="B32" s="60">
        <v>0</v>
      </c>
      <c r="D32" s="62">
        <v>0</v>
      </c>
      <c r="E32" s="61">
        <f t="shared" si="0"/>
        <v>0</v>
      </c>
    </row>
    <row r="33" spans="1:5" x14ac:dyDescent="0.25">
      <c r="A33" s="67"/>
      <c r="B33" s="60"/>
      <c r="E33" s="61"/>
    </row>
    <row r="34" spans="1:5" x14ac:dyDescent="0.25">
      <c r="A34" s="67"/>
      <c r="B34" s="60"/>
    </row>
    <row r="35" spans="1:5" x14ac:dyDescent="0.25">
      <c r="A35" s="67"/>
      <c r="B35" s="60"/>
    </row>
    <row r="36" spans="1:5" ht="15.75" x14ac:dyDescent="0.25">
      <c r="A36" s="59" t="s">
        <v>30</v>
      </c>
      <c r="B36" s="68">
        <f>SUM(B2:B35)</f>
        <v>127509200</v>
      </c>
    </row>
    <row r="37" spans="1:5" x14ac:dyDescent="0.25">
      <c r="B37" s="58">
        <v>127509200</v>
      </c>
    </row>
    <row r="38" spans="1:5" x14ac:dyDescent="0.25">
      <c r="B38" s="81">
        <f>+B36-B37</f>
        <v>0</v>
      </c>
    </row>
    <row r="39" spans="1:5" x14ac:dyDescent="0.25">
      <c r="B39" s="6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01</vt:lpstr>
      <vt:lpstr>02</vt:lpstr>
      <vt:lpstr>03</vt:lpstr>
      <vt:lpstr>REKAP (FEB)</vt:lpstr>
      <vt:lpstr>'01'!Print_Area</vt:lpstr>
      <vt:lpstr>'03'!Print_Area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2026-02-10T01:28:51Z</dcterms:created>
  <dcterms:modified xsi:type="dcterms:W3CDTF">2026-03-04T09:27:33Z</dcterms:modified>
</cp:coreProperties>
</file>