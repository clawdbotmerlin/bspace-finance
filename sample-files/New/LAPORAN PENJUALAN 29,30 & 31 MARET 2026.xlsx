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ITCANNA\Documents\GENERAL CASHIER REPORT 2026\LAPORAN PENJUALAN 2026\"/>
    </mc:Choice>
  </mc:AlternateContent>
  <xr:revisionPtr revIDLastSave="0" documentId="13_ncr:1_{FEFFDF68-0486-4871-BC2F-AA97E48B51C8}" xr6:coauthVersionLast="47" xr6:coauthVersionMax="47" xr10:uidLastSave="{00000000-0000-0000-0000-000000000000}"/>
  <bookViews>
    <workbookView xWindow="-120" yWindow="-120" windowWidth="29040" windowHeight="15840" tabRatio="500" activeTab="1" xr2:uid="{00000000-000D-0000-FFFF-FFFF00000000}"/>
  </bookViews>
  <sheets>
    <sheet name="PETUNJUK" sheetId="1" r:id="rId1"/>
    <sheet name="29" sheetId="6" r:id="rId2"/>
    <sheet name="30" sheetId="2" r:id="rId3"/>
    <sheet name="31" sheetId="3" r:id="rId4"/>
    <sheet name="REKAP" sheetId="5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xlnm._FilterDatabase" localSheetId="1" hidden="1">'29'!$A$50:$M$74</definedName>
  </definedNames>
  <calcPr calcId="18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71" i="6" l="1"/>
  <c r="K71" i="6" s="1"/>
  <c r="K70" i="6"/>
  <c r="K67" i="6"/>
  <c r="K66" i="6"/>
  <c r="K65" i="6"/>
  <c r="K64" i="6"/>
  <c r="K63" i="6"/>
  <c r="G57" i="6"/>
  <c r="G74" i="6" s="1"/>
  <c r="K58" i="6"/>
  <c r="K72" i="6"/>
  <c r="K69" i="6"/>
  <c r="K68" i="6"/>
  <c r="K62" i="6"/>
  <c r="K61" i="6"/>
  <c r="K60" i="6"/>
  <c r="K59" i="6"/>
  <c r="H26" i="6"/>
  <c r="H28" i="6"/>
  <c r="H39" i="6"/>
  <c r="H44" i="6"/>
  <c r="E40" i="6"/>
  <c r="H40" i="6"/>
  <c r="H41" i="6"/>
  <c r="K30" i="6"/>
  <c r="K29" i="6"/>
  <c r="K28" i="6"/>
  <c r="K27" i="6"/>
  <c r="K25" i="6"/>
  <c r="K21" i="6"/>
  <c r="K20" i="6"/>
  <c r="K19" i="6"/>
  <c r="H43" i="6" l="1"/>
  <c r="K26" i="6"/>
  <c r="K88" i="6" l="1"/>
  <c r="J85" i="6"/>
  <c r="I85" i="6"/>
  <c r="H85" i="6"/>
  <c r="G85" i="6"/>
  <c r="F85" i="6"/>
  <c r="E85" i="6"/>
  <c r="J84" i="6"/>
  <c r="I84" i="6"/>
  <c r="H84" i="6"/>
  <c r="G84" i="6"/>
  <c r="F84" i="6"/>
  <c r="E84" i="6"/>
  <c r="J83" i="6"/>
  <c r="I83" i="6"/>
  <c r="H83" i="6"/>
  <c r="G83" i="6"/>
  <c r="F83" i="6"/>
  <c r="E83" i="6"/>
  <c r="J82" i="6"/>
  <c r="I82" i="6"/>
  <c r="H82" i="6"/>
  <c r="G82" i="6"/>
  <c r="F82" i="6"/>
  <c r="E82" i="6"/>
  <c r="J81" i="6"/>
  <c r="I81" i="6"/>
  <c r="H81" i="6"/>
  <c r="G81" i="6"/>
  <c r="F81" i="6"/>
  <c r="E81" i="6"/>
  <c r="J80" i="6"/>
  <c r="I80" i="6"/>
  <c r="I86" i="6" s="1"/>
  <c r="I87" i="6" s="1"/>
  <c r="H80" i="6"/>
  <c r="H86" i="6" s="1"/>
  <c r="H87" i="6" s="1"/>
  <c r="G80" i="6"/>
  <c r="G86" i="6" s="1"/>
  <c r="G87" i="6" s="1"/>
  <c r="F80" i="6"/>
  <c r="F86" i="6" s="1"/>
  <c r="F87" i="6" s="1"/>
  <c r="E80" i="6"/>
  <c r="E86" i="6" s="1"/>
  <c r="E87" i="6" s="1"/>
  <c r="K79" i="6"/>
  <c r="K78" i="6"/>
  <c r="J74" i="6"/>
  <c r="J77" i="6" s="1"/>
  <c r="I74" i="6"/>
  <c r="I77" i="6" s="1"/>
  <c r="H74" i="6"/>
  <c r="H77" i="6" s="1"/>
  <c r="G77" i="6"/>
  <c r="F74" i="6"/>
  <c r="F77" i="6" s="1"/>
  <c r="E74" i="6"/>
  <c r="E77" i="6" s="1"/>
  <c r="K73" i="6"/>
  <c r="K85" i="6" s="1"/>
  <c r="K57" i="6"/>
  <c r="K56" i="6"/>
  <c r="K55" i="6"/>
  <c r="K54" i="6"/>
  <c r="K53" i="6"/>
  <c r="K52" i="6"/>
  <c r="K47" i="6"/>
  <c r="J44" i="6"/>
  <c r="I44" i="6"/>
  <c r="G44" i="6"/>
  <c r="F44" i="6"/>
  <c r="E44" i="6"/>
  <c r="J43" i="6"/>
  <c r="I43" i="6"/>
  <c r="G43" i="6"/>
  <c r="F43" i="6"/>
  <c r="E43" i="6"/>
  <c r="J42" i="6"/>
  <c r="I42" i="6"/>
  <c r="H42" i="6"/>
  <c r="H45" i="6" s="1"/>
  <c r="H46" i="6" s="1"/>
  <c r="G42" i="6"/>
  <c r="F42" i="6"/>
  <c r="E42" i="6"/>
  <c r="J41" i="6"/>
  <c r="I41" i="6"/>
  <c r="G41" i="6"/>
  <c r="F41" i="6"/>
  <c r="E41" i="6"/>
  <c r="J40" i="6"/>
  <c r="I40" i="6"/>
  <c r="G40" i="6"/>
  <c r="F40" i="6"/>
  <c r="J39" i="6"/>
  <c r="I39" i="6"/>
  <c r="G39" i="6"/>
  <c r="F39" i="6"/>
  <c r="E39" i="6"/>
  <c r="K38" i="6"/>
  <c r="K37" i="6"/>
  <c r="J33" i="6"/>
  <c r="J36" i="6" s="1"/>
  <c r="J90" i="6" s="1"/>
  <c r="I33" i="6"/>
  <c r="I36" i="6" s="1"/>
  <c r="I90" i="6" s="1"/>
  <c r="H33" i="6"/>
  <c r="G33" i="6"/>
  <c r="G36" i="6" s="1"/>
  <c r="G90" i="6" s="1"/>
  <c r="F33" i="6"/>
  <c r="F36" i="6" s="1"/>
  <c r="F90" i="6" s="1"/>
  <c r="E33" i="6"/>
  <c r="E36" i="6" s="1"/>
  <c r="E90" i="6" s="1"/>
  <c r="K32" i="6"/>
  <c r="K44" i="6" s="1"/>
  <c r="K31" i="6"/>
  <c r="K24" i="6"/>
  <c r="K23" i="6"/>
  <c r="K22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K33" i="2"/>
  <c r="C34" i="5"/>
  <c r="B33" i="5"/>
  <c r="D33" i="5" s="1"/>
  <c r="B32" i="5"/>
  <c r="D32" i="5" s="1"/>
  <c r="D31" i="5"/>
  <c r="B30" i="5"/>
  <c r="D30" i="5" s="1"/>
  <c r="D29" i="5"/>
  <c r="B29" i="5"/>
  <c r="D28" i="5"/>
  <c r="B28" i="5"/>
  <c r="D27" i="5"/>
  <c r="B27" i="5"/>
  <c r="D26" i="5"/>
  <c r="B26" i="5"/>
  <c r="D25" i="5"/>
  <c r="B25" i="5"/>
  <c r="D24" i="5"/>
  <c r="B24" i="5"/>
  <c r="D23" i="5"/>
  <c r="B23" i="5"/>
  <c r="D22" i="5"/>
  <c r="B22" i="5"/>
  <c r="D21" i="5"/>
  <c r="B21" i="5"/>
  <c r="D20" i="5"/>
  <c r="B20" i="5"/>
  <c r="D19" i="5"/>
  <c r="B19" i="5"/>
  <c r="D18" i="5"/>
  <c r="B18" i="5"/>
  <c r="D17" i="5"/>
  <c r="B17" i="5"/>
  <c r="D16" i="5"/>
  <c r="B16" i="5"/>
  <c r="D15" i="5"/>
  <c r="B15" i="5"/>
  <c r="D14" i="5"/>
  <c r="B14" i="5"/>
  <c r="D13" i="5"/>
  <c r="B13" i="5"/>
  <c r="D12" i="5"/>
  <c r="B12" i="5"/>
  <c r="D11" i="5"/>
  <c r="B11" i="5"/>
  <c r="D10" i="5"/>
  <c r="B10" i="5"/>
  <c r="D9" i="5"/>
  <c r="B9" i="5"/>
  <c r="D8" i="5"/>
  <c r="B8" i="5"/>
  <c r="D7" i="5"/>
  <c r="B7" i="5"/>
  <c r="D6" i="5"/>
  <c r="B6" i="5"/>
  <c r="D4" i="5"/>
  <c r="B4" i="5"/>
  <c r="B5" i="5"/>
  <c r="D5" i="5" s="1"/>
  <c r="K61" i="3"/>
  <c r="J58" i="3"/>
  <c r="I58" i="3"/>
  <c r="H58" i="3"/>
  <c r="G58" i="3"/>
  <c r="F58" i="3"/>
  <c r="E58" i="3"/>
  <c r="J57" i="3"/>
  <c r="I57" i="3"/>
  <c r="H57" i="3"/>
  <c r="G57" i="3"/>
  <c r="F57" i="3"/>
  <c r="E57" i="3"/>
  <c r="K57" i="3" s="1"/>
  <c r="J56" i="3"/>
  <c r="I56" i="3"/>
  <c r="H56" i="3"/>
  <c r="G56" i="3"/>
  <c r="F56" i="3"/>
  <c r="E56" i="3"/>
  <c r="K56" i="3" s="1"/>
  <c r="J55" i="3"/>
  <c r="I55" i="3"/>
  <c r="H55" i="3"/>
  <c r="G55" i="3"/>
  <c r="F55" i="3"/>
  <c r="E55" i="3"/>
  <c r="J54" i="3"/>
  <c r="I54" i="3"/>
  <c r="H54" i="3"/>
  <c r="G54" i="3"/>
  <c r="F54" i="3"/>
  <c r="E54" i="3"/>
  <c r="K54" i="3" s="1"/>
  <c r="J53" i="3"/>
  <c r="J59" i="3" s="1"/>
  <c r="J60" i="3" s="1"/>
  <c r="I53" i="3"/>
  <c r="I59" i="3" s="1"/>
  <c r="I60" i="3" s="1"/>
  <c r="H53" i="3"/>
  <c r="G53" i="3"/>
  <c r="G59" i="3" s="1"/>
  <c r="G60" i="3" s="1"/>
  <c r="F53" i="3"/>
  <c r="F59" i="3" s="1"/>
  <c r="F60" i="3" s="1"/>
  <c r="E53" i="3"/>
  <c r="E59" i="3" s="1"/>
  <c r="E60" i="3" s="1"/>
  <c r="K52" i="3"/>
  <c r="K51" i="3"/>
  <c r="I50" i="3"/>
  <c r="G50" i="3"/>
  <c r="J47" i="3"/>
  <c r="J50" i="3" s="1"/>
  <c r="I47" i="3"/>
  <c r="H47" i="3"/>
  <c r="H50" i="3" s="1"/>
  <c r="G47" i="3"/>
  <c r="F47" i="3"/>
  <c r="F50" i="3" s="1"/>
  <c r="E47" i="3"/>
  <c r="E50" i="3" s="1"/>
  <c r="K46" i="3"/>
  <c r="K58" i="3" s="1"/>
  <c r="K45" i="3"/>
  <c r="K44" i="3"/>
  <c r="K43" i="3"/>
  <c r="K42" i="3"/>
  <c r="K41" i="3"/>
  <c r="K40" i="3"/>
  <c r="K39" i="3"/>
  <c r="K34" i="3"/>
  <c r="J31" i="3"/>
  <c r="I31" i="3"/>
  <c r="H31" i="3"/>
  <c r="G31" i="3"/>
  <c r="F31" i="3"/>
  <c r="E31" i="3"/>
  <c r="J30" i="3"/>
  <c r="I30" i="3"/>
  <c r="H30" i="3"/>
  <c r="G30" i="3"/>
  <c r="F30" i="3"/>
  <c r="E30" i="3"/>
  <c r="K30" i="3" s="1"/>
  <c r="J29" i="3"/>
  <c r="I29" i="3"/>
  <c r="H29" i="3"/>
  <c r="G29" i="3"/>
  <c r="F29" i="3"/>
  <c r="E29" i="3"/>
  <c r="J28" i="3"/>
  <c r="I28" i="3"/>
  <c r="H28" i="3"/>
  <c r="G28" i="3"/>
  <c r="F28" i="3"/>
  <c r="E28" i="3"/>
  <c r="K28" i="3" s="1"/>
  <c r="J27" i="3"/>
  <c r="I27" i="3"/>
  <c r="H27" i="3"/>
  <c r="G27" i="3"/>
  <c r="F27" i="3"/>
  <c r="E27" i="3"/>
  <c r="K27" i="3" s="1"/>
  <c r="J26" i="3"/>
  <c r="J32" i="3" s="1"/>
  <c r="J33" i="3" s="1"/>
  <c r="I26" i="3"/>
  <c r="I32" i="3" s="1"/>
  <c r="I33" i="3" s="1"/>
  <c r="H26" i="3"/>
  <c r="H32" i="3" s="1"/>
  <c r="H33" i="3" s="1"/>
  <c r="G26" i="3"/>
  <c r="G32" i="3" s="1"/>
  <c r="G33" i="3" s="1"/>
  <c r="F26" i="3"/>
  <c r="F32" i="3" s="1"/>
  <c r="F33" i="3" s="1"/>
  <c r="E26" i="3"/>
  <c r="K26" i="3" s="1"/>
  <c r="K25" i="3"/>
  <c r="K24" i="3"/>
  <c r="J23" i="3"/>
  <c r="J63" i="3" s="1"/>
  <c r="J20" i="3"/>
  <c r="I20" i="3"/>
  <c r="I23" i="3" s="1"/>
  <c r="I63" i="3" s="1"/>
  <c r="H20" i="3"/>
  <c r="H23" i="3" s="1"/>
  <c r="H63" i="3" s="1"/>
  <c r="G20" i="3"/>
  <c r="G23" i="3" s="1"/>
  <c r="F20" i="3"/>
  <c r="F23" i="3" s="1"/>
  <c r="F63" i="3" s="1"/>
  <c r="E20" i="3"/>
  <c r="E23" i="3" s="1"/>
  <c r="K19" i="3"/>
  <c r="K31" i="3" s="1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76" i="2"/>
  <c r="J73" i="2"/>
  <c r="I73" i="2"/>
  <c r="H73" i="2"/>
  <c r="G73" i="2"/>
  <c r="F73" i="2"/>
  <c r="E73" i="2"/>
  <c r="J72" i="2"/>
  <c r="I72" i="2"/>
  <c r="H72" i="2"/>
  <c r="G72" i="2"/>
  <c r="F72" i="2"/>
  <c r="E72" i="2"/>
  <c r="J71" i="2"/>
  <c r="I71" i="2"/>
  <c r="H71" i="2"/>
  <c r="G71" i="2"/>
  <c r="F71" i="2"/>
  <c r="E71" i="2"/>
  <c r="J70" i="2"/>
  <c r="I70" i="2"/>
  <c r="H70" i="2"/>
  <c r="G70" i="2"/>
  <c r="F70" i="2"/>
  <c r="E70" i="2"/>
  <c r="J69" i="2"/>
  <c r="I69" i="2"/>
  <c r="H69" i="2"/>
  <c r="G69" i="2"/>
  <c r="F69" i="2"/>
  <c r="E69" i="2"/>
  <c r="J68" i="2"/>
  <c r="J74" i="2" s="1"/>
  <c r="J75" i="2" s="1"/>
  <c r="I68" i="2"/>
  <c r="I74" i="2" s="1"/>
  <c r="I75" i="2" s="1"/>
  <c r="H68" i="2"/>
  <c r="H74" i="2" s="1"/>
  <c r="H75" i="2" s="1"/>
  <c r="G68" i="2"/>
  <c r="G74" i="2" s="1"/>
  <c r="G75" i="2" s="1"/>
  <c r="F68" i="2"/>
  <c r="F74" i="2" s="1"/>
  <c r="F75" i="2" s="1"/>
  <c r="E68" i="2"/>
  <c r="K67" i="2"/>
  <c r="K66" i="2"/>
  <c r="J62" i="2"/>
  <c r="J65" i="2" s="1"/>
  <c r="I62" i="2"/>
  <c r="I65" i="2" s="1"/>
  <c r="H62" i="2"/>
  <c r="H65" i="2" s="1"/>
  <c r="G62" i="2"/>
  <c r="G65" i="2" s="1"/>
  <c r="F62" i="2"/>
  <c r="F65" i="2" s="1"/>
  <c r="E62" i="2"/>
  <c r="E65" i="2" s="1"/>
  <c r="K61" i="2"/>
  <c r="K73" i="2" s="1"/>
  <c r="K60" i="2"/>
  <c r="K59" i="2"/>
  <c r="K58" i="2"/>
  <c r="K57" i="2"/>
  <c r="K56" i="2"/>
  <c r="K55" i="2"/>
  <c r="K50" i="2"/>
  <c r="J47" i="2"/>
  <c r="I47" i="2"/>
  <c r="H47" i="2"/>
  <c r="G47" i="2"/>
  <c r="F47" i="2"/>
  <c r="E47" i="2"/>
  <c r="J46" i="2"/>
  <c r="I46" i="2"/>
  <c r="H46" i="2"/>
  <c r="G46" i="2"/>
  <c r="F46" i="2"/>
  <c r="E46" i="2"/>
  <c r="J45" i="2"/>
  <c r="I45" i="2"/>
  <c r="H45" i="2"/>
  <c r="G45" i="2"/>
  <c r="F45" i="2"/>
  <c r="E45" i="2"/>
  <c r="J44" i="2"/>
  <c r="I44" i="2"/>
  <c r="H44" i="2"/>
  <c r="G44" i="2"/>
  <c r="F44" i="2"/>
  <c r="E44" i="2"/>
  <c r="J43" i="2"/>
  <c r="I43" i="2"/>
  <c r="H43" i="2"/>
  <c r="G43" i="2"/>
  <c r="F43" i="2"/>
  <c r="E43" i="2"/>
  <c r="J42" i="2"/>
  <c r="J48" i="2" s="1"/>
  <c r="J49" i="2" s="1"/>
  <c r="I42" i="2"/>
  <c r="I48" i="2" s="1"/>
  <c r="I49" i="2" s="1"/>
  <c r="H42" i="2"/>
  <c r="H48" i="2" s="1"/>
  <c r="H49" i="2" s="1"/>
  <c r="G42" i="2"/>
  <c r="G48" i="2" s="1"/>
  <c r="G49" i="2" s="1"/>
  <c r="F42" i="2"/>
  <c r="F48" i="2" s="1"/>
  <c r="F49" i="2" s="1"/>
  <c r="E42" i="2"/>
  <c r="E48" i="2" s="1"/>
  <c r="E49" i="2" s="1"/>
  <c r="K41" i="2"/>
  <c r="K40" i="2"/>
  <c r="J36" i="2"/>
  <c r="J39" i="2" s="1"/>
  <c r="J78" i="2" s="1"/>
  <c r="I36" i="2"/>
  <c r="I39" i="2" s="1"/>
  <c r="I78" i="2" s="1"/>
  <c r="H36" i="2"/>
  <c r="H39" i="2" s="1"/>
  <c r="H78" i="2" s="1"/>
  <c r="G36" i="2"/>
  <c r="G39" i="2" s="1"/>
  <c r="G78" i="2" s="1"/>
  <c r="F36" i="2"/>
  <c r="F39" i="2" s="1"/>
  <c r="F78" i="2" s="1"/>
  <c r="E36" i="2"/>
  <c r="E39" i="2" s="1"/>
  <c r="E78" i="2" s="1"/>
  <c r="K35" i="2"/>
  <c r="K47" i="2" s="1"/>
  <c r="K34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J86" i="6" l="1"/>
  <c r="J87" i="6" s="1"/>
  <c r="H36" i="6"/>
  <c r="H90" i="6" s="1"/>
  <c r="E45" i="6"/>
  <c r="E46" i="6" s="1"/>
  <c r="F45" i="6"/>
  <c r="F46" i="6" s="1"/>
  <c r="G45" i="6"/>
  <c r="G46" i="6" s="1"/>
  <c r="J45" i="6"/>
  <c r="J46" i="6" s="1"/>
  <c r="I45" i="6"/>
  <c r="I46" i="6" s="1"/>
  <c r="K81" i="6"/>
  <c r="K82" i="6"/>
  <c r="K83" i="6"/>
  <c r="K84" i="6"/>
  <c r="K74" i="6"/>
  <c r="K77" i="6" s="1"/>
  <c r="K40" i="6"/>
  <c r="K41" i="6"/>
  <c r="K42" i="6"/>
  <c r="K43" i="6"/>
  <c r="K33" i="6"/>
  <c r="K36" i="6" s="1"/>
  <c r="K39" i="6"/>
  <c r="K80" i="6"/>
  <c r="E63" i="3"/>
  <c r="G63" i="3"/>
  <c r="K47" i="3"/>
  <c r="K50" i="3" s="1"/>
  <c r="H59" i="3"/>
  <c r="H60" i="3" s="1"/>
  <c r="K20" i="3"/>
  <c r="K23" i="3" s="1"/>
  <c r="K63" i="3" s="1"/>
  <c r="K62" i="2"/>
  <c r="K65" i="2" s="1"/>
  <c r="K36" i="2"/>
  <c r="K39" i="2" s="1"/>
  <c r="K43" i="2"/>
  <c r="K44" i="2"/>
  <c r="K45" i="2"/>
  <c r="K46" i="2"/>
  <c r="K68" i="2"/>
  <c r="K69" i="2"/>
  <c r="K70" i="2"/>
  <c r="K72" i="2"/>
  <c r="B34" i="5"/>
  <c r="D3" i="5"/>
  <c r="D34" i="5" s="1"/>
  <c r="E74" i="2"/>
  <c r="E75" i="2" s="1"/>
  <c r="E32" i="3"/>
  <c r="E33" i="3" s="1"/>
  <c r="K42" i="2"/>
  <c r="K71" i="2"/>
  <c r="K29" i="3"/>
  <c r="K32" i="3" s="1"/>
  <c r="K33" i="3" s="1"/>
  <c r="K55" i="3"/>
  <c r="K53" i="3"/>
  <c r="K59" i="3" s="1"/>
  <c r="K60" i="3" s="1"/>
  <c r="K86" i="6" l="1"/>
  <c r="K87" i="6" s="1"/>
  <c r="K90" i="6"/>
  <c r="K45" i="6"/>
  <c r="K46" i="6" s="1"/>
  <c r="K78" i="2"/>
  <c r="K48" i="2"/>
  <c r="K49" i="2" s="1"/>
  <c r="K74" i="2"/>
  <c r="K75" i="2" s="1"/>
</calcChain>
</file>

<file path=xl/sharedStrings.xml><?xml version="1.0" encoding="utf-8"?>
<sst xmlns="http://schemas.openxmlformats.org/spreadsheetml/2006/main" count="747" uniqueCount="178">
  <si>
    <t>PETUNJUK PENGISIAN — LAPORAN KASIR HARIAN  (FinSettle v3)</t>
  </si>
  <si>
    <t xml:space="preserve">  KOLOM POS (E–J) = STASIUN FISIK, BUKAN NAMA ORANG</t>
  </si>
  <si>
    <t>6 slot POS tetap, tidak pernah berubah</t>
  </si>
  <si>
    <t>E=POS 1 PAGI | F=POS 2 PAGI | G=CLIFF | H=POS 1 SORE | I=POS 2 SORE | J=POS TAMBAHAN
Formula TOTAL selalu =SUM(E:J). Tambah/kurang kasir → cukup ubah nama di baris kuning header.</t>
  </si>
  <si>
    <t xml:space="preserve">  BAGIAN RINGKASAN KASIR (bawah setiap tabel data)</t>
  </si>
  <si>
    <t>TOTAL DI REKAP QUINOS — INPUT MANUAL</t>
  </si>
  <si>
    <t>Diisi oleh kepala kasir dari laporan Quinos POS. Satu kolom per POS.
Ini adalah angka EKSPEKTASI dari sistem POS, bukan perhitungan Excel.</t>
  </si>
  <si>
    <t>TOTAL DI SETTLEMENT BANK — INPUT MANUAL</t>
  </si>
  <si>
    <t>Jumlah transaksi settlement (angka bulat, bukan Rupiah). Diisi per kolom POS.</t>
  </si>
  <si>
    <t>TOTAL BILL — INPUT MANUAL</t>
  </si>
  <si>
    <t>Jumlah struk/bill yang diproses per kasir. Angka bulat.</t>
  </si>
  <si>
    <t>SELISIH — FORMULA OTOMATIS</t>
  </si>
  <si>
    <t>TOTAL DI REKAP QUINOS dikurangi TOTAL PAYMENT. Harus = 0. Jika tidak nol, ada perbedaan yang harus diselidiki.</t>
  </si>
  <si>
    <t>Breakdown bank (BCA/BNI/BRI/MANDIRI/VOUCHER) — FORMULA OTOMATIS</t>
  </si>
  <si>
    <t>Dihitung dengan SUMIFS dari data di atas. Tidak perlu diedit.
Formula menggunakan kolom POS yang tetap, sehingga tidak berubah meski jumlah kasir berubah.</t>
  </si>
  <si>
    <t xml:space="preserve">  ATURAN INPUT</t>
  </si>
  <si>
    <t>Kolom E–J: angka Rupiah bulat saja</t>
  </si>
  <si>
    <t>Contoh benar: 1766700. Salah: 1.766.700 | =1000000+766700</t>
  </si>
  <si>
    <t>Kolom K (TOTAL): jangan diedit</t>
  </si>
  <si>
    <t>Formula =SUM(E:J) terpasang otomatis.</t>
  </si>
  <si>
    <t>Baris nama kasir (kuning): ganti nama setiap hari</t>
  </si>
  <si>
    <t>Ubah nama di baris header kuning sesuai kasir yang bertugas hari itu.</t>
  </si>
  <si>
    <t>KODE EDC</t>
  </si>
  <si>
    <t>NAMA BANK / TERMINAL</t>
  </si>
  <si>
    <t>JENIS</t>
  </si>
  <si>
    <t>ENTITAS</t>
  </si>
  <si>
    <t>POS 1 PAGI</t>
  </si>
  <si>
    <t>POS 2 PAGI</t>
  </si>
  <si>
    <t>CLIFF</t>
  </si>
  <si>
    <t>POS 1 SORE</t>
  </si>
  <si>
    <t>POS 2 SORE</t>
  </si>
  <si>
    <t>POS TAMBAHAN</t>
  </si>
  <si>
    <t>TOTAL</t>
  </si>
  <si>
    <t>NOTA BILL</t>
  </si>
  <si>
    <t>CATATAN</t>
  </si>
  <si>
    <t>↑ KASIR BERTUGAS:</t>
  </si>
  <si>
    <t>SINAR</t>
  </si>
  <si>
    <t>MEI</t>
  </si>
  <si>
    <t>MITA</t>
  </si>
  <si>
    <t>RINDA</t>
  </si>
  <si>
    <t>DION</t>
  </si>
  <si>
    <t>—</t>
  </si>
  <si>
    <t>← Ganti nama kasir di baris ini setiap hari</t>
  </si>
  <si>
    <t>2995</t>
  </si>
  <si>
    <t>BCA C2AP2381</t>
  </si>
  <si>
    <t>QR</t>
  </si>
  <si>
    <t>PT CAHAYA MENTARI BERSINAR</t>
  </si>
  <si>
    <t>DEBIT</t>
  </si>
  <si>
    <t>KK</t>
  </si>
  <si>
    <t>BCA C2BB8572</t>
  </si>
  <si>
    <t>3029</t>
  </si>
  <si>
    <t>BCA C2CT1910</t>
  </si>
  <si>
    <t>7-8774</t>
  </si>
  <si>
    <t>MANDIRI 82266801</t>
  </si>
  <si>
    <t>MANDIRI 82032222</t>
  </si>
  <si>
    <t>MANDIRI 82032224</t>
  </si>
  <si>
    <t>4670</t>
  </si>
  <si>
    <t>BNI 08388049</t>
  </si>
  <si>
    <t>BNI 08388047</t>
  </si>
  <si>
    <t>9303</t>
  </si>
  <si>
    <t>BRI 10836386</t>
  </si>
  <si>
    <t>BRI 10690516</t>
  </si>
  <si>
    <t>VOUCHER KLOOK</t>
  </si>
  <si>
    <t>CASH</t>
  </si>
  <si>
    <t>-</t>
  </si>
  <si>
    <t xml:space="preserve">  SUBTOTAL — REG</t>
  </si>
  <si>
    <t xml:space="preserve">  RINGKASAN KASIR — REG   (baris KUNING = input manual | baris HIJAU = formula otomatis)</t>
  </si>
  <si>
    <t xml:space="preserve">  TOTAL SALES (EDC + CASH)</t>
  </si>
  <si>
    <t xml:space="preserve">  TOTAL DI REKAP QUINOS  ← input dari sistem POS</t>
  </si>
  <si>
    <t xml:space="preserve">  TOTAL DI SETTLEMENT BANK  ← jumlah transaksi (bukan Rp)</t>
  </si>
  <si>
    <t xml:space="preserve">    BCA</t>
  </si>
  <si>
    <t xml:space="preserve">    BNI</t>
  </si>
  <si>
    <t xml:space="preserve">    BRI</t>
  </si>
  <si>
    <t xml:space="preserve">    MANDIRI</t>
  </si>
  <si>
    <t xml:space="preserve">    VOUCHER</t>
  </si>
  <si>
    <t xml:space="preserve">  TOTAL CASH</t>
  </si>
  <si>
    <t xml:space="preserve">  TOTAL PAYMENT (bank + cash)</t>
  </si>
  <si>
    <t xml:space="preserve">  SELISIH  (harus = 0, jika tidak nol → ada perbedaan)</t>
  </si>
  <si>
    <t xml:space="preserve">  TOTAL BILL  ← jumlah struk per kasir (angka bulat)</t>
  </si>
  <si>
    <t xml:space="preserve">  01 MARET 2026  ·  BLOK EV  ·  Lihat kolom ENTITAS per baris</t>
  </si>
  <si>
    <t>8824</t>
  </si>
  <si>
    <t>BNI 08190203</t>
  </si>
  <si>
    <t>CV BERKAT JAYA BAHAGIA</t>
  </si>
  <si>
    <t>22-87</t>
  </si>
  <si>
    <t>BNI 08190703</t>
  </si>
  <si>
    <t>CV TUNAS MUDA KREASI</t>
  </si>
  <si>
    <t xml:space="preserve">  SUBTOTAL — EV</t>
  </si>
  <si>
    <t xml:space="preserve">  RINGKASAN KASIR — EV   (baris KUNING = input manual | baris HIJAU = formula otomatis)</t>
  </si>
  <si>
    <t xml:space="preserve">  GRAND TOTAL HARIAN (REG + EV)</t>
  </si>
  <si>
    <t>Dibuat oleh (Kasir):</t>
  </si>
  <si>
    <t>Diperiksa oleh (Kepala Kasir):</t>
  </si>
  <si>
    <t>Nama  : ___________________________</t>
  </si>
  <si>
    <t>TTD   :</t>
  </si>
  <si>
    <t>BAYU</t>
  </si>
  <si>
    <t>ERAWATI</t>
  </si>
  <si>
    <t>BCA C2AP2384</t>
  </si>
  <si>
    <t>MANDIRI 82032223</t>
  </si>
  <si>
    <t>BRI 10836385</t>
  </si>
  <si>
    <t xml:space="preserve">  02 MARET 2026  ·  BLOK EV  ·  Lihat kolom ENTITAS per baris</t>
  </si>
  <si>
    <t>7308</t>
  </si>
  <si>
    <t>BRI 10652400</t>
  </si>
  <si>
    <t>CV KARYA BERSAMA ANUGERAH</t>
  </si>
  <si>
    <t>0302</t>
  </si>
  <si>
    <t>BRI TRANSFER 055601002000302</t>
  </si>
  <si>
    <t>TRANSFER</t>
  </si>
  <si>
    <t>REKAP BULANAN — MARET 2026</t>
  </si>
  <si>
    <t>TANGGAL</t>
  </si>
  <si>
    <t>GRAND TOTAL (REG+EV)</t>
  </si>
  <si>
    <t>KOREKSI PRIOR PERIOD</t>
  </si>
  <si>
    <t>NETO</t>
  </si>
  <si>
    <t>TOTAL BULAN</t>
  </si>
  <si>
    <t xml:space="preserve">  Legenda:  Latar KUNING = input manual  |  Latar HIJAU = formula otomatis  |  TOTAL formula selalu =SUM(E:J), tidak berubah meski jumlah kasir berubah</t>
  </si>
  <si>
    <t xml:space="preserve">  30 MARET 2026  ·  BLOK REG  ·  PT CAHAYA MENTARI BERSINAR</t>
  </si>
  <si>
    <t xml:space="preserve">  31 MARET 2026  ·  BLOK REG  ·  PT CAHAYA MENTARI BERSINAR</t>
  </si>
  <si>
    <t>JULIA</t>
  </si>
  <si>
    <t>059904</t>
  </si>
  <si>
    <t>059903,059905,059918,059913,059908,059924,059922,059925,059912,059941</t>
  </si>
  <si>
    <t>059933</t>
  </si>
  <si>
    <t>059944,059938,059931,059930,059954</t>
  </si>
  <si>
    <t>059955,059927</t>
  </si>
  <si>
    <t>BNI 08388045</t>
  </si>
  <si>
    <t>059920,059942</t>
  </si>
  <si>
    <t>059948,059921,059915,059919,059946,059916</t>
  </si>
  <si>
    <t>059946, 059954,059942,059943</t>
  </si>
  <si>
    <t>059938,059948,059932,059939</t>
  </si>
  <si>
    <t>059945</t>
  </si>
  <si>
    <t>059936,059937</t>
  </si>
  <si>
    <t>059910,059917</t>
  </si>
  <si>
    <t>059911,059949,059951,059945,059907,059939</t>
  </si>
  <si>
    <t>BCA C2AP2382</t>
  </si>
  <si>
    <t>059935</t>
  </si>
  <si>
    <t>059915,059905,059907,059919,059947</t>
  </si>
  <si>
    <t>VOUCHER</t>
  </si>
  <si>
    <t>VOUCHER GETYOURGUIDE</t>
  </si>
  <si>
    <t>059923</t>
  </si>
  <si>
    <t>VOUCHER TIKET.COM</t>
  </si>
  <si>
    <t>059929,059930</t>
  </si>
  <si>
    <t>VOUCHER TRAVELOKA</t>
  </si>
  <si>
    <t>059909</t>
  </si>
  <si>
    <t>GYGRFQVVMHHZ</t>
  </si>
  <si>
    <t>1341775587</t>
  </si>
  <si>
    <t>TVX9E8ZQAUN/TVX8E8ZQAU9</t>
  </si>
  <si>
    <t>TVX4E8ZQGE5</t>
  </si>
  <si>
    <t>059926,059927</t>
  </si>
  <si>
    <t>TVX7E8ZO6KT</t>
  </si>
  <si>
    <t>059950</t>
  </si>
  <si>
    <t>KLK9773351896</t>
  </si>
  <si>
    <t>059928</t>
  </si>
  <si>
    <t>KLK6778623948</t>
  </si>
  <si>
    <t>059952</t>
  </si>
  <si>
    <t>KELEBIHAN SATELMENT RP.8 PD EDC BNI 083880045 KESALAHAN TEKAN TOBOL 8 YG HARUSNYA 0 OLEH SERVER EVA</t>
  </si>
  <si>
    <t>BNI 08190603</t>
  </si>
  <si>
    <t>CV BERKAT GEMILANG BERSATU</t>
  </si>
  <si>
    <t>BRI 10742131</t>
  </si>
  <si>
    <t>012756,012751</t>
  </si>
  <si>
    <t>BCA TRANSFER 4040660211</t>
  </si>
  <si>
    <t>012753</t>
  </si>
  <si>
    <t>012754,012759</t>
  </si>
  <si>
    <t>012755,012789,012757</t>
  </si>
  <si>
    <t>BCA TRANFER 8015956981</t>
  </si>
  <si>
    <t>27/01/26</t>
  </si>
  <si>
    <t>24/02/26</t>
  </si>
  <si>
    <t>27/03/26</t>
  </si>
  <si>
    <t>012792</t>
  </si>
  <si>
    <t>012792,012793</t>
  </si>
  <si>
    <t>KLK6969301650</t>
  </si>
  <si>
    <t>012759,012760</t>
  </si>
  <si>
    <t>012752,012758,012761,012816012818</t>
  </si>
  <si>
    <t>012797</t>
  </si>
  <si>
    <t>012821,012822,012811,012815,012802,012808,012810</t>
  </si>
  <si>
    <t>012780</t>
  </si>
  <si>
    <t>012798,012791,012786,012794,012777,012796,012771,012800,012785</t>
  </si>
  <si>
    <t>CV BERSATU INDAH SEJAHTERA</t>
  </si>
  <si>
    <t>BCA TRANSFER 4040660122</t>
  </si>
  <si>
    <t>012816</t>
  </si>
  <si>
    <t>26/03/26</t>
  </si>
  <si>
    <t>012790</t>
  </si>
  <si>
    <t>012817,012825,012772,012782,012768,012783,012781012801012804,012819,012788,012799,012807,012812,012809,012820,012779,012806,012773,01277401769,012767,012766,012764,012761,012762,012763,012770,012765,012775,012778,012784,012776,012827,012826,012824,012823,012814,012813,012805,012787,012785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</si>
</sst>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dd\-mmm\-yyyy"/>
  </numFmts>
  <fonts count="32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9"/>
      <color rgb="FFFFFFFF"/>
      <name val="Arial"/>
      <charset val="1"/>
    </font>
    <font>
      <b/>
      <sz val="9"/>
      <color rgb="FF1E3A5F"/>
      <name val="Arial"/>
      <charset val="1"/>
    </font>
    <font>
      <sz val="9"/>
      <color rgb="FF374151"/>
      <name val="Arial"/>
      <charset val="1"/>
    </font>
    <font>
      <b/>
      <sz val="10"/>
      <color rgb="FFFFFFFF"/>
      <name val="Arial"/>
      <charset val="1"/>
    </font>
    <font>
      <b/>
      <sz val="8"/>
      <color rgb="FFFFFFFF"/>
      <name val="Arial"/>
      <charset val="1"/>
    </font>
    <font>
      <i/>
      <sz val="8"/>
      <color rgb="FFD97706"/>
      <name val="Arial"/>
      <charset val="1"/>
    </font>
    <font>
      <sz val="10"/>
      <color rgb="FF000000"/>
      <name val="Arial"/>
      <charset val="1"/>
    </font>
    <font>
      <sz val="8"/>
      <color rgb="FF374151"/>
      <name val="Arial"/>
      <charset val="1"/>
    </font>
    <font>
      <sz val="10"/>
      <color rgb="FF6B7280"/>
      <name val="Arial"/>
      <charset val="1"/>
    </font>
    <font>
      <b/>
      <sz val="10"/>
      <color rgb="FF0F766E"/>
      <name val="Arial"/>
      <charset val="1"/>
    </font>
    <font>
      <sz val="8"/>
      <color rgb="FF6B7280"/>
      <name val="Arial"/>
      <charset val="1"/>
    </font>
    <font>
      <i/>
      <sz val="8"/>
      <color rgb="FF6B7280"/>
      <name val="Arial"/>
      <charset val="1"/>
    </font>
    <font>
      <sz val="10"/>
      <color rgb="FF000080"/>
      <name val="Arial"/>
      <charset val="1"/>
    </font>
    <font>
      <b/>
      <sz val="9"/>
      <color rgb="FF065F46"/>
      <name val="Arial"/>
      <charset val="1"/>
    </font>
    <font>
      <b/>
      <sz val="10"/>
      <color rgb="FF065F46"/>
      <name val="Arial"/>
      <charset val="1"/>
    </font>
    <font>
      <b/>
      <sz val="9"/>
      <color rgb="FFD97706"/>
      <name val="Arial"/>
      <charset val="1"/>
    </font>
    <font>
      <sz val="10"/>
      <color rgb="FF0000CD"/>
      <name val="Arial"/>
      <charset val="1"/>
    </font>
    <font>
      <b/>
      <sz val="10"/>
      <color rgb="FFD97706"/>
      <name val="Arial"/>
      <charset val="1"/>
    </font>
    <font>
      <sz val="9"/>
      <color rgb="FF1E3A5F"/>
      <name val="Arial"/>
      <charset val="1"/>
    </font>
    <font>
      <sz val="10"/>
      <color rgb="FF065F46"/>
      <name val="Arial"/>
      <charset val="1"/>
    </font>
    <font>
      <b/>
      <sz val="9"/>
      <color rgb="FF991B1B"/>
      <name val="Arial"/>
      <charset val="1"/>
    </font>
    <font>
      <b/>
      <sz val="10"/>
      <color rgb="FF991B1B"/>
      <name val="Arial"/>
      <charset val="1"/>
    </font>
    <font>
      <b/>
      <sz val="11"/>
      <color rgb="FFFFFFFF"/>
      <name val="Arial"/>
      <charset val="1"/>
    </font>
    <font>
      <sz val="9"/>
      <color rgb="FF6B7280"/>
      <name val="Arial"/>
      <charset val="1"/>
    </font>
    <font>
      <b/>
      <sz val="9"/>
      <color rgb="FF1B2A4A"/>
      <name val="Arial"/>
      <charset val="1"/>
    </font>
    <font>
      <sz val="9"/>
      <color rgb="FF0000FF"/>
      <name val="Arial"/>
      <charset val="1"/>
    </font>
    <font>
      <b/>
      <sz val="9"/>
      <color rgb="FF0F766E"/>
      <name val="Arial"/>
      <charset val="1"/>
    </font>
    <font>
      <sz val="11"/>
      <color theme="1"/>
      <name val="Calibri"/>
      <family val="2"/>
      <charset val="1"/>
    </font>
    <font>
      <sz val="8"/>
      <color rgb="FF6B7280"/>
      <name val="Arial"/>
      <family val="2"/>
    </font>
    <font>
      <sz val="9"/>
      <color rgb="FF374151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1B2A4A"/>
        <bgColor rgb="FF1E3A5F"/>
      </patternFill>
    </fill>
    <fill>
      <patternFill patternType="solid">
        <fgColor rgb="FF374151"/>
        <bgColor rgb="FF1E3A5F"/>
      </patternFill>
    </fill>
    <fill>
      <patternFill patternType="solid">
        <fgColor rgb="FFDBEAFE"/>
        <bgColor rgb="FFE5E7EB"/>
      </patternFill>
    </fill>
    <fill>
      <patternFill patternType="solid">
        <fgColor rgb="FFFFFFFF"/>
        <bgColor rgb="FFF3F4F6"/>
      </patternFill>
    </fill>
    <fill>
      <patternFill patternType="solid">
        <fgColor rgb="FF2563EB"/>
        <bgColor rgb="FF0066CC"/>
      </patternFill>
    </fill>
    <fill>
      <patternFill patternType="solid">
        <fgColor rgb="FF0F766E"/>
        <bgColor rgb="FF065F46"/>
      </patternFill>
    </fill>
    <fill>
      <patternFill patternType="solid">
        <fgColor rgb="FFFEF3C7"/>
        <bgColor rgb="FFFEE2E2"/>
      </patternFill>
    </fill>
    <fill>
      <patternFill patternType="solid">
        <fgColor rgb="FFCCFBF1"/>
        <bgColor rgb="FFDCFCE7"/>
      </patternFill>
    </fill>
    <fill>
      <patternFill patternType="solid">
        <fgColor rgb="FFF3F4F6"/>
        <bgColor rgb="FFFFFFFF"/>
      </patternFill>
    </fill>
    <fill>
      <patternFill patternType="solid">
        <fgColor rgb="FFE5E7EB"/>
        <bgColor rgb="FFDBEAFE"/>
      </patternFill>
    </fill>
    <fill>
      <patternFill patternType="solid">
        <fgColor rgb="FFDCFCE7"/>
        <bgColor rgb="FFCCFBF1"/>
      </patternFill>
    </fill>
    <fill>
      <patternFill patternType="solid">
        <fgColor rgb="FFFEE2E2"/>
        <bgColor rgb="FFE5E7EB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3F4F6"/>
      </patternFill>
    </fill>
    <fill>
      <patternFill patternType="solid">
        <fgColor theme="0"/>
        <bgColor rgb="FFDCFCE7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0" tint="-4.9989318521683403E-2"/>
        <bgColor rgb="FFF3F4F6"/>
      </patternFill>
    </fill>
    <fill>
      <patternFill patternType="solid">
        <fgColor theme="0" tint="-4.9989318521683403E-2"/>
        <bgColor rgb="FFDCFCE7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0F766E"/>
      </left>
      <right style="thin">
        <color rgb="FF0F766E"/>
      </right>
      <top style="thin">
        <color rgb="FF0F766E"/>
      </top>
      <bottom style="thin">
        <color rgb="FF0F766E"/>
      </bottom>
      <diagonal/>
    </border>
    <border>
      <left style="thin">
        <color rgb="FF991B1B"/>
      </left>
      <right style="thin">
        <color rgb="FF991B1B"/>
      </right>
      <top style="thin">
        <color rgb="FF991B1B"/>
      </top>
      <bottom style="thin">
        <color rgb="FF991B1B"/>
      </bottom>
      <diagonal/>
    </border>
    <border>
      <left style="thin">
        <color rgb="FF1B2A4A"/>
      </left>
      <right style="thin">
        <color rgb="FF1B2A4A"/>
      </right>
      <top style="thin">
        <color rgb="FF1B2A4A"/>
      </top>
      <bottom style="thin">
        <color rgb="FF1B2A4A"/>
      </bottom>
      <diagonal/>
    </border>
  </borders>
  <cellStyleXfs count="2">
    <xf numFmtId="0" fontId="0" fillId="0" borderId="0"/>
    <xf numFmtId="41" fontId="29" fillId="0" borderId="0" applyFont="0" applyFill="0" applyBorder="0" applyAlignment="0" applyProtection="0"/>
  </cellStyleXfs>
  <cellXfs count="106">
    <xf numFmtId="0" fontId="0" fillId="0" borderId="0" xfId="0"/>
    <xf numFmtId="0" fontId="0" fillId="0" borderId="0" xfId="0" applyAlignment="1"/>
    <xf numFmtId="0" fontId="3" fillId="4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9" fillId="5" borderId="2" xfId="0" applyFont="1" applyFill="1" applyBorder="1" applyAlignment="1">
      <alignment horizontal="left" vertical="center" wrapText="1"/>
    </xf>
    <xf numFmtId="0" fontId="10" fillId="5" borderId="2" xfId="0" applyFont="1" applyFill="1" applyBorder="1" applyAlignment="1">
      <alignment horizontal="right" vertical="center"/>
    </xf>
    <xf numFmtId="3" fontId="11" fillId="9" borderId="2" xfId="0" applyNumberFormat="1" applyFont="1" applyFill="1" applyBorder="1" applyAlignment="1">
      <alignment horizontal="right" vertical="center"/>
    </xf>
    <xf numFmtId="0" fontId="12" fillId="5" borderId="2" xfId="0" applyFont="1" applyFill="1" applyBorder="1" applyAlignment="1">
      <alignment horizontal="left" vertical="center" wrapText="1"/>
    </xf>
    <xf numFmtId="0" fontId="13" fillId="5" borderId="2" xfId="0" applyFont="1" applyFill="1" applyBorder="1" applyAlignment="1">
      <alignment horizontal="left" vertical="center" wrapText="1"/>
    </xf>
    <xf numFmtId="0" fontId="4" fillId="10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left" vertical="center"/>
    </xf>
    <xf numFmtId="0" fontId="9" fillId="10" borderId="2" xfId="0" applyFont="1" applyFill="1" applyBorder="1" applyAlignment="1">
      <alignment horizontal="left" vertical="center" wrapText="1"/>
    </xf>
    <xf numFmtId="0" fontId="10" fillId="10" borderId="2" xfId="0" applyFont="1" applyFill="1" applyBorder="1" applyAlignment="1">
      <alignment horizontal="right" vertical="center"/>
    </xf>
    <xf numFmtId="0" fontId="12" fillId="10" borderId="2" xfId="0" applyFont="1" applyFill="1" applyBorder="1" applyAlignment="1">
      <alignment horizontal="left" vertical="center" wrapText="1"/>
    </xf>
    <xf numFmtId="0" fontId="13" fillId="10" borderId="2" xfId="0" applyFont="1" applyFill="1" applyBorder="1" applyAlignment="1">
      <alignment horizontal="left" vertical="center" wrapText="1"/>
    </xf>
    <xf numFmtId="3" fontId="14" fillId="5" borderId="2" xfId="0" applyNumberFormat="1" applyFont="1" applyFill="1" applyBorder="1" applyAlignment="1">
      <alignment horizontal="right" vertical="center"/>
    </xf>
    <xf numFmtId="3" fontId="14" fillId="10" borderId="2" xfId="0" applyNumberFormat="1" applyFont="1" applyFill="1" applyBorder="1" applyAlignment="1">
      <alignment horizontal="right" vertical="center"/>
    </xf>
    <xf numFmtId="0" fontId="4" fillId="8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left" vertical="center"/>
    </xf>
    <xf numFmtId="0" fontId="9" fillId="8" borderId="2" xfId="0" applyFont="1" applyFill="1" applyBorder="1" applyAlignment="1">
      <alignment horizontal="left" vertical="center" wrapText="1"/>
    </xf>
    <xf numFmtId="3" fontId="14" fillId="8" borderId="2" xfId="0" applyNumberFormat="1" applyFont="1" applyFill="1" applyBorder="1" applyAlignment="1">
      <alignment horizontal="right" vertical="center"/>
    </xf>
    <xf numFmtId="0" fontId="10" fillId="8" borderId="2" xfId="0" applyFont="1" applyFill="1" applyBorder="1" applyAlignment="1">
      <alignment horizontal="right" vertical="center"/>
    </xf>
    <xf numFmtId="0" fontId="12" fillId="8" borderId="2" xfId="0" applyFont="1" applyFill="1" applyBorder="1" applyAlignment="1">
      <alignment horizontal="left" vertical="center" wrapText="1"/>
    </xf>
    <xf numFmtId="0" fontId="13" fillId="8" borderId="2" xfId="0" applyFont="1" applyFill="1" applyBorder="1" applyAlignment="1">
      <alignment horizontal="left" vertical="center" wrapText="1"/>
    </xf>
    <xf numFmtId="3" fontId="5" fillId="7" borderId="4" xfId="0" applyNumberFormat="1" applyFont="1" applyFill="1" applyBorder="1" applyAlignment="1">
      <alignment horizontal="right" vertical="center"/>
    </xf>
    <xf numFmtId="0" fontId="0" fillId="7" borderId="4" xfId="0" applyFill="1" applyBorder="1" applyAlignment="1"/>
    <xf numFmtId="3" fontId="16" fillId="12" borderId="2" xfId="0" applyNumberFormat="1" applyFont="1" applyFill="1" applyBorder="1" applyAlignment="1">
      <alignment horizontal="right" vertical="center"/>
    </xf>
    <xf numFmtId="0" fontId="0" fillId="12" borderId="0" xfId="0" applyFill="1" applyAlignment="1"/>
    <xf numFmtId="3" fontId="18" fillId="8" borderId="3" xfId="0" applyNumberFormat="1" applyFont="1" applyFill="1" applyBorder="1" applyAlignment="1">
      <alignment horizontal="right" vertical="center"/>
    </xf>
    <xf numFmtId="3" fontId="19" fillId="8" borderId="3" xfId="0" applyNumberFormat="1" applyFont="1" applyFill="1" applyBorder="1" applyAlignment="1">
      <alignment horizontal="right" vertical="center"/>
    </xf>
    <xf numFmtId="0" fontId="0" fillId="8" borderId="3" xfId="0" applyFill="1" applyBorder="1" applyAlignment="1"/>
    <xf numFmtId="0" fontId="18" fillId="8" borderId="3" xfId="0" applyFont="1" applyFill="1" applyBorder="1" applyAlignment="1">
      <alignment horizontal="right" vertical="center"/>
    </xf>
    <xf numFmtId="0" fontId="19" fillId="8" borderId="3" xfId="0" applyFont="1" applyFill="1" applyBorder="1" applyAlignment="1">
      <alignment horizontal="right" vertical="center"/>
    </xf>
    <xf numFmtId="3" fontId="21" fillId="12" borderId="2" xfId="0" applyNumberFormat="1" applyFont="1" applyFill="1" applyBorder="1" applyAlignment="1">
      <alignment horizontal="right" vertical="center"/>
    </xf>
    <xf numFmtId="3" fontId="23" fillId="13" borderId="5" xfId="0" applyNumberFormat="1" applyFont="1" applyFill="1" applyBorder="1" applyAlignment="1">
      <alignment horizontal="right" vertical="center"/>
    </xf>
    <xf numFmtId="0" fontId="0" fillId="13" borderId="5" xfId="0" applyFill="1" applyBorder="1" applyAlignment="1"/>
    <xf numFmtId="3" fontId="24" fillId="2" borderId="6" xfId="0" applyNumberFormat="1" applyFont="1" applyFill="1" applyBorder="1" applyAlignment="1">
      <alignment horizontal="right" vertical="center"/>
    </xf>
    <xf numFmtId="0" fontId="0" fillId="2" borderId="6" xfId="0" applyFill="1" applyBorder="1" applyAlignment="1"/>
    <xf numFmtId="0" fontId="2" fillId="6" borderId="2" xfId="0" applyFont="1" applyFill="1" applyBorder="1" applyAlignment="1">
      <alignment horizontal="center" vertical="center"/>
    </xf>
    <xf numFmtId="164" fontId="4" fillId="5" borderId="2" xfId="0" applyNumberFormat="1" applyFont="1" applyFill="1" applyBorder="1" applyAlignment="1">
      <alignment horizontal="center" vertical="center"/>
    </xf>
    <xf numFmtId="3" fontId="26" fillId="5" borderId="2" xfId="0" applyNumberFormat="1" applyFont="1" applyFill="1" applyBorder="1" applyAlignment="1">
      <alignment horizontal="right" vertical="center"/>
    </xf>
    <xf numFmtId="3" fontId="27" fillId="8" borderId="2" xfId="0" applyNumberFormat="1" applyFont="1" applyFill="1" applyBorder="1" applyAlignment="1">
      <alignment horizontal="right" vertical="center"/>
    </xf>
    <xf numFmtId="3" fontId="28" fillId="9" borderId="2" xfId="0" applyNumberFormat="1" applyFont="1" applyFill="1" applyBorder="1" applyAlignment="1">
      <alignment horizontal="right" vertical="center"/>
    </xf>
    <xf numFmtId="164" fontId="4" fillId="10" borderId="2" xfId="0" applyNumberFormat="1" applyFont="1" applyFill="1" applyBorder="1" applyAlignment="1">
      <alignment horizontal="center" vertical="center"/>
    </xf>
    <xf numFmtId="3" fontId="26" fillId="4" borderId="2" xfId="0" applyNumberFormat="1" applyFont="1" applyFill="1" applyBorder="1" applyAlignment="1">
      <alignment horizontal="right" vertical="center"/>
    </xf>
    <xf numFmtId="0" fontId="5" fillId="2" borderId="0" xfId="0" applyFont="1" applyFill="1" applyAlignment="1">
      <alignment horizontal="center" vertical="center"/>
    </xf>
    <xf numFmtId="3" fontId="5" fillId="2" borderId="6" xfId="0" applyNumberFormat="1" applyFont="1" applyFill="1" applyBorder="1" applyAlignment="1">
      <alignment horizontal="right" vertical="center"/>
    </xf>
    <xf numFmtId="0" fontId="5" fillId="2" borderId="0" xfId="0" applyFont="1" applyFill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left" vertical="center"/>
    </xf>
    <xf numFmtId="0" fontId="25" fillId="0" borderId="1" xfId="0" applyFont="1" applyBorder="1" applyAlignment="1">
      <alignment horizontal="left" vertical="center"/>
    </xf>
    <xf numFmtId="0" fontId="22" fillId="13" borderId="1" xfId="0" applyFont="1" applyFill="1" applyBorder="1" applyAlignment="1">
      <alignment horizontal="left" vertical="center"/>
    </xf>
    <xf numFmtId="0" fontId="17" fillId="8" borderId="1" xfId="0" applyFont="1" applyFill="1" applyBorder="1" applyAlignment="1">
      <alignment horizontal="left" vertical="center"/>
    </xf>
    <xf numFmtId="0" fontId="0" fillId="11" borderId="0" xfId="0" applyFill="1" applyBorder="1" applyAlignment="1"/>
    <xf numFmtId="0" fontId="24" fillId="2" borderId="1" xfId="0" applyFont="1" applyFill="1" applyBorder="1" applyAlignment="1">
      <alignment horizontal="left" vertical="center"/>
    </xf>
    <xf numFmtId="0" fontId="20" fillId="12" borderId="1" xfId="0" applyFont="1" applyFill="1" applyBorder="1" applyAlignment="1">
      <alignment horizontal="left" vertical="center"/>
    </xf>
    <xf numFmtId="0" fontId="15" fillId="12" borderId="1" xfId="0" applyFont="1" applyFill="1" applyBorder="1" applyAlignment="1">
      <alignment horizontal="left" vertical="center"/>
    </xf>
    <xf numFmtId="0" fontId="7" fillId="8" borderId="2" xfId="0" applyFont="1" applyFill="1" applyBorder="1" applyAlignment="1">
      <alignment horizontal="left" vertical="center"/>
    </xf>
    <xf numFmtId="0" fontId="7" fillId="8" borderId="3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13" fillId="10" borderId="1" xfId="0" applyFont="1" applyFill="1" applyBorder="1" applyAlignment="1">
      <alignment horizontal="left" vertical="center"/>
    </xf>
    <xf numFmtId="0" fontId="12" fillId="8" borderId="2" xfId="0" quotePrefix="1" applyFont="1" applyFill="1" applyBorder="1" applyAlignment="1">
      <alignment horizontal="left" vertical="center" wrapText="1"/>
    </xf>
    <xf numFmtId="41" fontId="10" fillId="10" borderId="2" xfId="1" applyFont="1" applyFill="1" applyBorder="1" applyAlignment="1">
      <alignment horizontal="right" vertical="center"/>
    </xf>
    <xf numFmtId="0" fontId="12" fillId="10" borderId="2" xfId="0" quotePrefix="1" applyFont="1" applyFill="1" applyBorder="1" applyAlignment="1">
      <alignment horizontal="left" vertical="center" wrapText="1"/>
    </xf>
    <xf numFmtId="41" fontId="10" fillId="5" borderId="2" xfId="1" applyFont="1" applyFill="1" applyBorder="1" applyAlignment="1">
      <alignment horizontal="right" vertical="center"/>
    </xf>
    <xf numFmtId="41" fontId="14" fillId="5" borderId="2" xfId="1" applyFont="1" applyFill="1" applyBorder="1" applyAlignment="1">
      <alignment horizontal="right" vertical="center"/>
    </xf>
    <xf numFmtId="41" fontId="14" fillId="10" borderId="2" xfId="1" applyFont="1" applyFill="1" applyBorder="1" applyAlignment="1">
      <alignment horizontal="right" vertical="center"/>
    </xf>
    <xf numFmtId="0" fontId="12" fillId="5" borderId="2" xfId="0" quotePrefix="1" applyFont="1" applyFill="1" applyBorder="1" applyAlignment="1">
      <alignment horizontal="left" vertical="center" wrapText="1"/>
    </xf>
    <xf numFmtId="0" fontId="4" fillId="5" borderId="2" xfId="0" quotePrefix="1" applyFont="1" applyFill="1" applyBorder="1" applyAlignment="1">
      <alignment horizontal="left" vertical="center"/>
    </xf>
    <xf numFmtId="0" fontId="4" fillId="14" borderId="2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left" vertical="center"/>
    </xf>
    <xf numFmtId="0" fontId="4" fillId="15" borderId="2" xfId="0" applyFont="1" applyFill="1" applyBorder="1" applyAlignment="1">
      <alignment horizontal="center" vertical="center"/>
    </xf>
    <xf numFmtId="0" fontId="9" fillId="15" borderId="2" xfId="0" applyFont="1" applyFill="1" applyBorder="1" applyAlignment="1">
      <alignment horizontal="left" vertical="center" wrapText="1"/>
    </xf>
    <xf numFmtId="41" fontId="10" fillId="14" borderId="2" xfId="1" applyFont="1" applyFill="1" applyBorder="1" applyAlignment="1">
      <alignment horizontal="right" vertical="center"/>
    </xf>
    <xf numFmtId="3" fontId="11" fillId="16" borderId="2" xfId="0" applyNumberFormat="1" applyFont="1" applyFill="1" applyBorder="1" applyAlignment="1">
      <alignment horizontal="right" vertical="center"/>
    </xf>
    <xf numFmtId="0" fontId="12" fillId="14" borderId="2" xfId="0" applyFont="1" applyFill="1" applyBorder="1" applyAlignment="1">
      <alignment horizontal="left" vertical="center" wrapText="1"/>
    </xf>
    <xf numFmtId="0" fontId="13" fillId="14" borderId="2" xfId="0" applyFont="1" applyFill="1" applyBorder="1" applyAlignment="1">
      <alignment horizontal="left" vertical="center" wrapText="1"/>
    </xf>
    <xf numFmtId="0" fontId="0" fillId="17" borderId="0" xfId="0" applyFill="1"/>
    <xf numFmtId="0" fontId="9" fillId="14" borderId="2" xfId="0" applyFont="1" applyFill="1" applyBorder="1" applyAlignment="1">
      <alignment horizontal="left" vertical="center" wrapText="1"/>
    </xf>
    <xf numFmtId="0" fontId="4" fillId="18" borderId="2" xfId="0" applyFont="1" applyFill="1" applyBorder="1" applyAlignment="1">
      <alignment horizontal="center" vertical="center"/>
    </xf>
    <xf numFmtId="0" fontId="4" fillId="18" borderId="2" xfId="0" applyFont="1" applyFill="1" applyBorder="1" applyAlignment="1">
      <alignment horizontal="left" vertical="center"/>
    </xf>
    <xf numFmtId="0" fontId="4" fillId="19" borderId="2" xfId="0" applyFont="1" applyFill="1" applyBorder="1" applyAlignment="1">
      <alignment horizontal="center" vertical="center"/>
    </xf>
    <xf numFmtId="0" fontId="9" fillId="18" borderId="2" xfId="0" applyFont="1" applyFill="1" applyBorder="1" applyAlignment="1">
      <alignment horizontal="left" vertical="center" wrapText="1"/>
    </xf>
    <xf numFmtId="41" fontId="10" fillId="18" borderId="2" xfId="1" applyFont="1" applyFill="1" applyBorder="1" applyAlignment="1">
      <alignment horizontal="right" vertical="center"/>
    </xf>
    <xf numFmtId="3" fontId="11" fillId="20" borderId="2" xfId="0" applyNumberFormat="1" applyFont="1" applyFill="1" applyBorder="1" applyAlignment="1">
      <alignment horizontal="right" vertical="center"/>
    </xf>
    <xf numFmtId="0" fontId="12" fillId="18" borderId="2" xfId="0" applyFont="1" applyFill="1" applyBorder="1" applyAlignment="1">
      <alignment horizontal="left" vertical="center" wrapText="1"/>
    </xf>
    <xf numFmtId="0" fontId="13" fillId="18" borderId="2" xfId="0" applyFont="1" applyFill="1" applyBorder="1" applyAlignment="1">
      <alignment horizontal="left" vertical="center" wrapText="1"/>
    </xf>
    <xf numFmtId="0" fontId="0" fillId="21" borderId="0" xfId="0" applyFill="1"/>
    <xf numFmtId="0" fontId="12" fillId="14" borderId="2" xfId="0" quotePrefix="1" applyFont="1" applyFill="1" applyBorder="1" applyAlignment="1">
      <alignment horizontal="left" vertical="center" wrapText="1"/>
    </xf>
    <xf numFmtId="49" fontId="30" fillId="14" borderId="2" xfId="1" applyNumberFormat="1" applyFont="1" applyFill="1" applyBorder="1" applyAlignment="1" applyProtection="1">
      <alignment horizontal="left" vertical="center"/>
      <protection locked="0"/>
    </xf>
    <xf numFmtId="0" fontId="30" fillId="8" borderId="2" xfId="0" quotePrefix="1" applyFont="1" applyFill="1" applyBorder="1" applyAlignment="1">
      <alignment horizontal="left" vertical="center" wrapText="1"/>
    </xf>
    <xf numFmtId="0" fontId="30" fillId="10" borderId="2" xfId="0" quotePrefix="1" applyFont="1" applyFill="1" applyBorder="1" applyAlignment="1">
      <alignment horizontal="left" vertical="center" wrapText="1"/>
    </xf>
    <xf numFmtId="0" fontId="31" fillId="14" borderId="2" xfId="0" applyFont="1" applyFill="1" applyBorder="1" applyAlignment="1">
      <alignment horizontal="left" vertical="center"/>
    </xf>
    <xf numFmtId="0" fontId="31" fillId="18" borderId="2" xfId="0" applyFont="1" applyFill="1" applyBorder="1" applyAlignment="1">
      <alignment horizontal="left" vertical="center"/>
    </xf>
    <xf numFmtId="0" fontId="12" fillId="18" borderId="2" xfId="0" quotePrefix="1" applyFont="1" applyFill="1" applyBorder="1" applyAlignment="1">
      <alignment horizontal="left" vertical="center" wrapText="1"/>
    </xf>
    <xf numFmtId="0" fontId="9" fillId="19" borderId="2" xfId="0" applyFont="1" applyFill="1" applyBorder="1" applyAlignment="1">
      <alignment horizontal="left" vertical="center" wrapText="1"/>
    </xf>
    <xf numFmtId="0" fontId="30" fillId="14" borderId="2" xfId="0" quotePrefix="1" applyFont="1" applyFill="1" applyBorder="1" applyAlignment="1">
      <alignment horizontal="left" vertical="center" wrapText="1"/>
    </xf>
    <xf numFmtId="41" fontId="10" fillId="8" borderId="2" xfId="1" applyFont="1" applyFill="1" applyBorder="1" applyAlignment="1">
      <alignment horizontal="right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E5E7EB"/>
      <rgbColor rgb="FF808080"/>
      <rgbColor rgb="FF9999FF"/>
      <rgbColor rgb="FF993366"/>
      <rgbColor rgb="FFFEF3C7"/>
      <rgbColor rgb="FFCCFBF1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65F46"/>
      <rgbColor rgb="FF0000CD"/>
      <rgbColor rgb="FF00CCFF"/>
      <rgbColor rgb="FFDCFCE7"/>
      <rgbColor rgb="FFDBEAFE"/>
      <rgbColor rgb="FFF3F4F6"/>
      <rgbColor rgb="FF99CCFF"/>
      <rgbColor rgb="FFFF99CC"/>
      <rgbColor rgb="FFCC99FF"/>
      <rgbColor rgb="FFFEE2E2"/>
      <rgbColor rgb="FF2563EB"/>
      <rgbColor rgb="FF33CCCC"/>
      <rgbColor rgb="FF99CC00"/>
      <rgbColor rgb="FFFFCC00"/>
      <rgbColor rgb="FFFF9900"/>
      <rgbColor rgb="FFD97706"/>
      <rgbColor rgb="FF6B7280"/>
      <rgbColor rgb="FF969696"/>
      <rgbColor rgb="FF1E3A5F"/>
      <rgbColor rgb="FF339966"/>
      <rgbColor rgb="FF003300"/>
      <rgbColor rgb="FF1B2A4A"/>
      <rgbColor rgb="FF991B1B"/>
      <rgbColor rgb="FF993366"/>
      <rgbColor rgb="FF333399"/>
      <rgbColor rgb="FF37415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26" Type="http://schemas.openxmlformats.org/officeDocument/2006/relationships/externalLink" Target="externalLinks/externalLink2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6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externalLink" Target="externalLinks/externalLink20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24" Type="http://schemas.openxmlformats.org/officeDocument/2006/relationships/externalLink" Target="externalLinks/externalLink19.xml"/><Relationship Id="rId32" Type="http://schemas.openxmlformats.org/officeDocument/2006/relationships/externalLink" Target="externalLinks/externalLink27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28" Type="http://schemas.openxmlformats.org/officeDocument/2006/relationships/externalLink" Target="externalLinks/externalLink23.xml"/><Relationship Id="rId36" Type="http://schemas.openxmlformats.org/officeDocument/2006/relationships/calcChain" Target="calcChain.xml"/><Relationship Id="rId10" Type="http://schemas.openxmlformats.org/officeDocument/2006/relationships/externalLink" Target="externalLinks/externalLink5.xml"/><Relationship Id="rId19" Type="http://schemas.openxmlformats.org/officeDocument/2006/relationships/externalLink" Target="externalLinks/externalLink14.xml"/><Relationship Id="rId31" Type="http://schemas.openxmlformats.org/officeDocument/2006/relationships/externalLink" Target="externalLinks/externalLink2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externalLink" Target="externalLinks/externalLink22.xml"/><Relationship Id="rId30" Type="http://schemas.openxmlformats.org/officeDocument/2006/relationships/externalLink" Target="externalLinks/externalLink25.xml"/><Relationship Id="rId35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04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05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06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07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08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09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10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11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12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13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14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15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16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17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18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19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21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22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23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24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25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26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27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28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30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3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4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5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6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7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8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9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4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5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6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7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8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1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3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4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5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6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7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8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0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14"/>
  <sheetViews>
    <sheetView showGridLines="0" zoomScaleNormal="100" workbookViewId="0"/>
  </sheetViews>
  <sheetFormatPr defaultColWidth="8.7109375" defaultRowHeight="15" x14ac:dyDescent="0.25"/>
  <cols>
    <col min="2" max="2" width="38" style="1" customWidth="1"/>
    <col min="3" max="3" width="52" style="1" customWidth="1"/>
  </cols>
  <sheetData>
    <row r="1" spans="2:3" ht="30" customHeight="1" x14ac:dyDescent="0.25">
      <c r="B1" s="54" t="s">
        <v>0</v>
      </c>
      <c r="C1" s="54"/>
    </row>
    <row r="3" spans="2:3" ht="13.5" customHeight="1" x14ac:dyDescent="0.25">
      <c r="B3" s="55" t="s">
        <v>1</v>
      </c>
      <c r="C3" s="55"/>
    </row>
    <row r="4" spans="2:3" ht="27" customHeight="1" x14ac:dyDescent="0.25">
      <c r="B4" s="2" t="s">
        <v>2</v>
      </c>
      <c r="C4" s="3" t="s">
        <v>3</v>
      </c>
    </row>
    <row r="5" spans="2:3" ht="13.5" customHeight="1" x14ac:dyDescent="0.25">
      <c r="B5" s="55" t="s">
        <v>4</v>
      </c>
      <c r="C5" s="55"/>
    </row>
    <row r="6" spans="2:3" ht="27" customHeight="1" x14ac:dyDescent="0.25">
      <c r="B6" s="2" t="s">
        <v>5</v>
      </c>
      <c r="C6" s="3" t="s">
        <v>6</v>
      </c>
    </row>
    <row r="7" spans="2:3" ht="13.5" customHeight="1" x14ac:dyDescent="0.25">
      <c r="B7" s="2" t="s">
        <v>7</v>
      </c>
      <c r="C7" s="3" t="s">
        <v>8</v>
      </c>
    </row>
    <row r="8" spans="2:3" ht="13.5" customHeight="1" x14ac:dyDescent="0.25">
      <c r="B8" s="2" t="s">
        <v>9</v>
      </c>
      <c r="C8" s="3" t="s">
        <v>10</v>
      </c>
    </row>
    <row r="9" spans="2:3" ht="13.5" customHeight="1" x14ac:dyDescent="0.25">
      <c r="B9" s="2" t="s">
        <v>11</v>
      </c>
      <c r="C9" s="3" t="s">
        <v>12</v>
      </c>
    </row>
    <row r="10" spans="2:3" ht="27" customHeight="1" x14ac:dyDescent="0.25">
      <c r="B10" s="2" t="s">
        <v>13</v>
      </c>
      <c r="C10" s="3" t="s">
        <v>14</v>
      </c>
    </row>
    <row r="11" spans="2:3" ht="13.5" customHeight="1" x14ac:dyDescent="0.25">
      <c r="B11" s="55" t="s">
        <v>15</v>
      </c>
      <c r="C11" s="55"/>
    </row>
    <row r="12" spans="2:3" ht="13.5" customHeight="1" x14ac:dyDescent="0.25">
      <c r="B12" s="2" t="s">
        <v>16</v>
      </c>
      <c r="C12" s="3" t="s">
        <v>17</v>
      </c>
    </row>
    <row r="13" spans="2:3" ht="13.5" customHeight="1" x14ac:dyDescent="0.25">
      <c r="B13" s="2" t="s">
        <v>18</v>
      </c>
      <c r="C13" s="3" t="s">
        <v>19</v>
      </c>
    </row>
    <row r="14" spans="2:3" ht="13.5" customHeight="1" x14ac:dyDescent="0.25">
      <c r="B14" s="2" t="s">
        <v>20</v>
      </c>
      <c r="C14" s="3" t="s">
        <v>21</v>
      </c>
    </row>
  </sheetData>
  <mergeCells count="4">
    <mergeCell ref="B1:C1"/>
    <mergeCell ref="B3:C3"/>
    <mergeCell ref="B5:C5"/>
    <mergeCell ref="B11:C1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3F7B8-F2CE-436D-8FDD-671EBBEF540C}">
  <sheetPr filterMode="1">
    <pageSetUpPr fitToPage="1"/>
  </sheetPr>
  <dimension ref="A1:M94"/>
  <sheetViews>
    <sheetView showGridLines="0" tabSelected="1" zoomScaleNormal="10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K74" activeCellId="1" sqref="K33 K74"/>
    </sheetView>
  </sheetViews>
  <sheetFormatPr defaultColWidth="8.7109375" defaultRowHeight="15" x14ac:dyDescent="0.25"/>
  <cols>
    <col min="1" max="1" width="10" style="1" customWidth="1"/>
    <col min="2" max="2" width="22" style="1" customWidth="1"/>
    <col min="3" max="3" width="8" style="1" customWidth="1"/>
    <col min="4" max="4" width="28" style="1" customWidth="1"/>
    <col min="5" max="10" width="13" style="1" customWidth="1"/>
    <col min="11" max="11" width="16" style="1" customWidth="1"/>
    <col min="12" max="12" width="66.28515625" style="1" customWidth="1"/>
    <col min="13" max="13" width="38" style="1" customWidth="1"/>
  </cols>
  <sheetData>
    <row r="1" spans="1:13" ht="21.75" customHeight="1" x14ac:dyDescent="0.25">
      <c r="A1" s="67" t="s">
        <v>112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</row>
    <row r="2" spans="1:13" ht="21.75" customHeight="1" x14ac:dyDescent="0.25">
      <c r="A2" s="4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G2" s="4" t="s">
        <v>28</v>
      </c>
      <c r="H2" s="4" t="s">
        <v>29</v>
      </c>
      <c r="I2" s="4" t="s">
        <v>30</v>
      </c>
      <c r="J2" s="4" t="s">
        <v>31</v>
      </c>
      <c r="K2" s="5" t="s">
        <v>32</v>
      </c>
      <c r="L2" s="4" t="s">
        <v>33</v>
      </c>
      <c r="M2" s="4" t="s">
        <v>34</v>
      </c>
    </row>
    <row r="3" spans="1:13" ht="18" customHeight="1" x14ac:dyDescent="0.25">
      <c r="A3" s="64" t="s">
        <v>35</v>
      </c>
      <c r="B3" s="64"/>
      <c r="C3" s="64"/>
      <c r="D3" s="64"/>
      <c r="E3" s="6" t="s">
        <v>36</v>
      </c>
      <c r="F3" s="6" t="s">
        <v>40</v>
      </c>
      <c r="G3" s="6" t="s">
        <v>38</v>
      </c>
      <c r="H3" s="6" t="s">
        <v>94</v>
      </c>
      <c r="I3" s="6" t="s">
        <v>114</v>
      </c>
      <c r="J3" s="6" t="s">
        <v>41</v>
      </c>
      <c r="K3" s="7"/>
      <c r="L3" s="65" t="s">
        <v>42</v>
      </c>
      <c r="M3" s="65"/>
    </row>
    <row r="4" spans="1:13" ht="18" customHeight="1" x14ac:dyDescent="0.25">
      <c r="A4" s="8" t="s">
        <v>43</v>
      </c>
      <c r="B4" s="9" t="s">
        <v>44</v>
      </c>
      <c r="C4" s="8" t="s">
        <v>45</v>
      </c>
      <c r="D4" s="10" t="s">
        <v>46</v>
      </c>
      <c r="E4" s="11"/>
      <c r="F4" s="11"/>
      <c r="G4" s="11"/>
      <c r="H4" s="72">
        <v>925700</v>
      </c>
      <c r="I4" s="11"/>
      <c r="J4" s="11"/>
      <c r="K4" s="12">
        <f t="shared" ref="K4:K32" si="0">SUM(E4:J4)</f>
        <v>925700</v>
      </c>
      <c r="L4" s="75" t="s">
        <v>126</v>
      </c>
      <c r="M4" s="14"/>
    </row>
    <row r="5" spans="1:13" ht="18" customHeight="1" x14ac:dyDescent="0.25">
      <c r="A5" s="15" t="s">
        <v>43</v>
      </c>
      <c r="B5" s="16" t="s">
        <v>44</v>
      </c>
      <c r="C5" s="15" t="s">
        <v>47</v>
      </c>
      <c r="D5" s="17" t="s">
        <v>46</v>
      </c>
      <c r="E5" s="18"/>
      <c r="F5" s="18"/>
      <c r="G5" s="18"/>
      <c r="H5" s="70">
        <v>1173700</v>
      </c>
      <c r="I5" s="18"/>
      <c r="J5" s="18"/>
      <c r="K5" s="12">
        <f t="shared" si="0"/>
        <v>1173700</v>
      </c>
      <c r="L5" s="71" t="s">
        <v>127</v>
      </c>
      <c r="M5" s="20"/>
    </row>
    <row r="6" spans="1:13" ht="18" customHeight="1" x14ac:dyDescent="0.25">
      <c r="A6" s="8" t="s">
        <v>43</v>
      </c>
      <c r="B6" s="9" t="s">
        <v>44</v>
      </c>
      <c r="C6" s="8" t="s">
        <v>48</v>
      </c>
      <c r="D6" s="10" t="s">
        <v>46</v>
      </c>
      <c r="E6" s="11"/>
      <c r="F6" s="11"/>
      <c r="G6" s="11"/>
      <c r="H6" s="73">
        <v>2443800</v>
      </c>
      <c r="I6" s="11"/>
      <c r="J6" s="11"/>
      <c r="K6" s="12">
        <f t="shared" si="0"/>
        <v>2443800</v>
      </c>
      <c r="L6" s="75" t="s">
        <v>128</v>
      </c>
      <c r="M6" s="14"/>
    </row>
    <row r="7" spans="1:13" ht="18" customHeight="1" x14ac:dyDescent="0.25">
      <c r="A7" s="15" t="s">
        <v>43</v>
      </c>
      <c r="B7" s="9" t="s">
        <v>129</v>
      </c>
      <c r="C7" s="15" t="s">
        <v>45</v>
      </c>
      <c r="D7" s="17" t="s">
        <v>46</v>
      </c>
      <c r="E7" s="18"/>
      <c r="F7" s="18"/>
      <c r="G7" s="18"/>
      <c r="H7" s="70"/>
      <c r="I7" s="18"/>
      <c r="J7" s="18"/>
      <c r="K7" s="12">
        <f t="shared" si="0"/>
        <v>0</v>
      </c>
      <c r="L7" s="19"/>
      <c r="M7" s="20"/>
    </row>
    <row r="8" spans="1:13" ht="18" customHeight="1" x14ac:dyDescent="0.25">
      <c r="A8" s="8" t="s">
        <v>43</v>
      </c>
      <c r="B8" s="16" t="s">
        <v>129</v>
      </c>
      <c r="C8" s="8" t="s">
        <v>47</v>
      </c>
      <c r="D8" s="10" t="s">
        <v>46</v>
      </c>
      <c r="E8" s="11"/>
      <c r="F8" s="11"/>
      <c r="G8" s="11"/>
      <c r="H8" s="72">
        <v>2000000</v>
      </c>
      <c r="I8" s="11"/>
      <c r="J8" s="11"/>
      <c r="K8" s="12">
        <f t="shared" si="0"/>
        <v>2000000</v>
      </c>
      <c r="L8" s="75" t="s">
        <v>130</v>
      </c>
      <c r="M8" s="14"/>
    </row>
    <row r="9" spans="1:13" ht="18" customHeight="1" x14ac:dyDescent="0.25">
      <c r="A9" s="15" t="s">
        <v>43</v>
      </c>
      <c r="B9" s="9" t="s">
        <v>129</v>
      </c>
      <c r="C9" s="15" t="s">
        <v>48</v>
      </c>
      <c r="D9" s="17" t="s">
        <v>46</v>
      </c>
      <c r="E9" s="22"/>
      <c r="F9" s="18"/>
      <c r="G9" s="18"/>
      <c r="H9" s="70">
        <v>6500000</v>
      </c>
      <c r="I9" s="18"/>
      <c r="J9" s="18"/>
      <c r="K9" s="12">
        <f t="shared" si="0"/>
        <v>6500000</v>
      </c>
      <c r="L9" s="71" t="s">
        <v>131</v>
      </c>
      <c r="M9" s="20"/>
    </row>
    <row r="10" spans="1:13" ht="18" customHeight="1" x14ac:dyDescent="0.25">
      <c r="A10" s="8" t="s">
        <v>50</v>
      </c>
      <c r="B10" s="9" t="s">
        <v>51</v>
      </c>
      <c r="C10" s="8" t="s">
        <v>45</v>
      </c>
      <c r="D10" s="10" t="s">
        <v>46</v>
      </c>
      <c r="E10" s="11"/>
      <c r="F10" s="11"/>
      <c r="G10" s="11"/>
      <c r="H10" s="72"/>
      <c r="I10" s="11"/>
      <c r="J10" s="11"/>
      <c r="K10" s="12">
        <f t="shared" si="0"/>
        <v>0</v>
      </c>
      <c r="L10" s="13"/>
      <c r="M10" s="14"/>
    </row>
    <row r="11" spans="1:13" ht="18" customHeight="1" x14ac:dyDescent="0.25">
      <c r="A11" s="15" t="s">
        <v>50</v>
      </c>
      <c r="B11" s="16" t="s">
        <v>51</v>
      </c>
      <c r="C11" s="15" t="s">
        <v>47</v>
      </c>
      <c r="D11" s="17" t="s">
        <v>46</v>
      </c>
      <c r="E11" s="18"/>
      <c r="F11" s="18"/>
      <c r="G11" s="18"/>
      <c r="H11" s="70"/>
      <c r="I11" s="18"/>
      <c r="J11" s="18"/>
      <c r="K11" s="12">
        <f t="shared" si="0"/>
        <v>0</v>
      </c>
      <c r="L11" s="19"/>
      <c r="M11" s="20"/>
    </row>
    <row r="12" spans="1:13" ht="18" customHeight="1" x14ac:dyDescent="0.25">
      <c r="A12" s="8" t="s">
        <v>50</v>
      </c>
      <c r="B12" s="9" t="s">
        <v>51</v>
      </c>
      <c r="C12" s="8" t="s">
        <v>48</v>
      </c>
      <c r="D12" s="10" t="s">
        <v>46</v>
      </c>
      <c r="E12" s="11"/>
      <c r="F12" s="11"/>
      <c r="G12" s="11"/>
      <c r="H12" s="73">
        <v>1000000</v>
      </c>
      <c r="I12" s="11"/>
      <c r="J12" s="11"/>
      <c r="K12" s="12">
        <f t="shared" si="0"/>
        <v>1000000</v>
      </c>
      <c r="L12" s="75" t="s">
        <v>125</v>
      </c>
      <c r="M12" s="14"/>
    </row>
    <row r="13" spans="1:13" ht="18" customHeight="1" x14ac:dyDescent="0.25">
      <c r="A13" s="8" t="s">
        <v>56</v>
      </c>
      <c r="B13" s="9" t="s">
        <v>120</v>
      </c>
      <c r="C13" s="8" t="s">
        <v>45</v>
      </c>
      <c r="D13" s="10" t="s">
        <v>46</v>
      </c>
      <c r="E13" s="11"/>
      <c r="F13" s="11"/>
      <c r="G13" s="21"/>
      <c r="H13" s="72">
        <v>237400</v>
      </c>
      <c r="I13" s="11"/>
      <c r="J13" s="11"/>
      <c r="K13" s="12">
        <f t="shared" si="0"/>
        <v>237400</v>
      </c>
      <c r="L13" s="75" t="s">
        <v>121</v>
      </c>
      <c r="M13" s="14"/>
    </row>
    <row r="14" spans="1:13" ht="18" customHeight="1" x14ac:dyDescent="0.25">
      <c r="A14" s="15" t="s">
        <v>56</v>
      </c>
      <c r="B14" s="16" t="s">
        <v>120</v>
      </c>
      <c r="C14" s="15" t="s">
        <v>47</v>
      </c>
      <c r="D14" s="17" t="s">
        <v>46</v>
      </c>
      <c r="E14" s="18"/>
      <c r="F14" s="18"/>
      <c r="G14" s="22"/>
      <c r="H14" s="70"/>
      <c r="I14" s="18"/>
      <c r="J14" s="18"/>
      <c r="K14" s="12">
        <f t="shared" si="0"/>
        <v>0</v>
      </c>
      <c r="L14" s="19"/>
      <c r="M14" s="20"/>
    </row>
    <row r="15" spans="1:13" ht="18" customHeight="1" x14ac:dyDescent="0.25">
      <c r="A15" s="8" t="s">
        <v>56</v>
      </c>
      <c r="B15" s="9" t="s">
        <v>120</v>
      </c>
      <c r="C15" s="8" t="s">
        <v>48</v>
      </c>
      <c r="D15" s="10" t="s">
        <v>46</v>
      </c>
      <c r="E15" s="11"/>
      <c r="F15" s="11"/>
      <c r="G15" s="21"/>
      <c r="H15" s="72">
        <v>3966508</v>
      </c>
      <c r="I15" s="11"/>
      <c r="J15" s="11"/>
      <c r="K15" s="12">
        <f t="shared" si="0"/>
        <v>3966508</v>
      </c>
      <c r="L15" s="75" t="s">
        <v>122</v>
      </c>
      <c r="M15" s="14"/>
    </row>
    <row r="16" spans="1:13" ht="18" customHeight="1" x14ac:dyDescent="0.25">
      <c r="A16" s="15" t="s">
        <v>56</v>
      </c>
      <c r="B16" s="16" t="s">
        <v>58</v>
      </c>
      <c r="C16" s="15" t="s">
        <v>45</v>
      </c>
      <c r="D16" s="17" t="s">
        <v>46</v>
      </c>
      <c r="E16" s="70">
        <v>100000</v>
      </c>
      <c r="F16" s="18"/>
      <c r="G16" s="18"/>
      <c r="H16" s="70"/>
      <c r="I16" s="18"/>
      <c r="J16" s="18"/>
      <c r="K16" s="12">
        <f t="shared" si="0"/>
        <v>100000</v>
      </c>
      <c r="L16" s="71" t="s">
        <v>115</v>
      </c>
      <c r="M16" s="20"/>
    </row>
    <row r="17" spans="1:13" ht="18" customHeight="1" x14ac:dyDescent="0.25">
      <c r="A17" s="8" t="s">
        <v>56</v>
      </c>
      <c r="B17" s="9" t="s">
        <v>58</v>
      </c>
      <c r="C17" s="8" t="s">
        <v>47</v>
      </c>
      <c r="D17" s="10" t="s">
        <v>46</v>
      </c>
      <c r="E17" s="11"/>
      <c r="F17" s="11"/>
      <c r="G17" s="11"/>
      <c r="H17" s="72"/>
      <c r="I17" s="11"/>
      <c r="J17" s="11"/>
      <c r="K17" s="12">
        <f t="shared" si="0"/>
        <v>0</v>
      </c>
      <c r="L17" s="13"/>
      <c r="M17" s="14"/>
    </row>
    <row r="18" spans="1:13" ht="18" customHeight="1" x14ac:dyDescent="0.25">
      <c r="A18" s="15" t="s">
        <v>56</v>
      </c>
      <c r="B18" s="16" t="s">
        <v>58</v>
      </c>
      <c r="C18" s="15" t="s">
        <v>48</v>
      </c>
      <c r="D18" s="17" t="s">
        <v>46</v>
      </c>
      <c r="E18" s="18"/>
      <c r="F18" s="18"/>
      <c r="G18" s="18"/>
      <c r="H18" s="74"/>
      <c r="I18" s="18"/>
      <c r="J18" s="18"/>
      <c r="K18" s="12">
        <f t="shared" si="0"/>
        <v>0</v>
      </c>
      <c r="L18" s="19"/>
      <c r="M18" s="20"/>
    </row>
    <row r="19" spans="1:13" ht="18" customHeight="1" x14ac:dyDescent="0.25">
      <c r="A19" s="15" t="s">
        <v>56</v>
      </c>
      <c r="B19" s="16" t="s">
        <v>57</v>
      </c>
      <c r="C19" s="15" t="s">
        <v>45</v>
      </c>
      <c r="D19" s="17" t="s">
        <v>46</v>
      </c>
      <c r="E19" s="18"/>
      <c r="F19" s="18"/>
      <c r="G19" s="18"/>
      <c r="H19" s="74">
        <v>8000000</v>
      </c>
      <c r="I19" s="18"/>
      <c r="J19" s="18"/>
      <c r="K19" s="12">
        <f t="shared" si="0"/>
        <v>8000000</v>
      </c>
      <c r="L19" s="71" t="s">
        <v>123</v>
      </c>
      <c r="M19" s="20"/>
    </row>
    <row r="20" spans="1:13" ht="18" customHeight="1" x14ac:dyDescent="0.25">
      <c r="A20" s="15" t="s">
        <v>56</v>
      </c>
      <c r="B20" s="9" t="s">
        <v>57</v>
      </c>
      <c r="C20" s="8" t="s">
        <v>47</v>
      </c>
      <c r="D20" s="10" t="s">
        <v>46</v>
      </c>
      <c r="E20" s="18"/>
      <c r="F20" s="18"/>
      <c r="G20" s="18"/>
      <c r="H20" s="74"/>
      <c r="I20" s="18"/>
      <c r="J20" s="18"/>
      <c r="K20" s="12">
        <f t="shared" si="0"/>
        <v>0</v>
      </c>
      <c r="L20" s="19"/>
      <c r="M20" s="20"/>
    </row>
    <row r="21" spans="1:13" ht="18" customHeight="1" x14ac:dyDescent="0.25">
      <c r="A21" s="15" t="s">
        <v>56</v>
      </c>
      <c r="B21" s="16" t="s">
        <v>57</v>
      </c>
      <c r="C21" s="15" t="s">
        <v>48</v>
      </c>
      <c r="D21" s="17" t="s">
        <v>46</v>
      </c>
      <c r="E21" s="18"/>
      <c r="F21" s="18"/>
      <c r="G21" s="18"/>
      <c r="H21" s="74">
        <v>5500000</v>
      </c>
      <c r="I21" s="18"/>
      <c r="J21" s="18"/>
      <c r="K21" s="12">
        <f t="shared" si="0"/>
        <v>5500000</v>
      </c>
      <c r="L21" s="71" t="s">
        <v>124</v>
      </c>
      <c r="M21" s="20"/>
    </row>
    <row r="22" spans="1:13" ht="18" customHeight="1" x14ac:dyDescent="0.25">
      <c r="A22" s="8" t="s">
        <v>59</v>
      </c>
      <c r="B22" s="9" t="s">
        <v>97</v>
      </c>
      <c r="C22" s="8" t="s">
        <v>45</v>
      </c>
      <c r="D22" s="10" t="s">
        <v>46</v>
      </c>
      <c r="E22" s="11"/>
      <c r="F22" s="11"/>
      <c r="G22" s="11"/>
      <c r="H22" s="72">
        <v>3430800</v>
      </c>
      <c r="I22" s="11"/>
      <c r="J22" s="11"/>
      <c r="K22" s="12">
        <f t="shared" si="0"/>
        <v>3430800</v>
      </c>
      <c r="L22" s="75" t="s">
        <v>118</v>
      </c>
      <c r="M22" s="14"/>
    </row>
    <row r="23" spans="1:13" ht="18" customHeight="1" x14ac:dyDescent="0.25">
      <c r="A23" s="15" t="s">
        <v>59</v>
      </c>
      <c r="B23" s="16" t="s">
        <v>97</v>
      </c>
      <c r="C23" s="15" t="s">
        <v>47</v>
      </c>
      <c r="D23" s="17" t="s">
        <v>46</v>
      </c>
      <c r="E23" s="18"/>
      <c r="F23" s="18"/>
      <c r="G23" s="18"/>
      <c r="H23" s="70">
        <v>175500</v>
      </c>
      <c r="I23" s="18"/>
      <c r="J23" s="18"/>
      <c r="K23" s="12">
        <f t="shared" si="0"/>
        <v>175500</v>
      </c>
      <c r="L23" s="71" t="s">
        <v>117</v>
      </c>
      <c r="M23" s="20"/>
    </row>
    <row r="24" spans="1:13" ht="18" customHeight="1" x14ac:dyDescent="0.25">
      <c r="A24" s="8" t="s">
        <v>59</v>
      </c>
      <c r="B24" s="9" t="s">
        <v>97</v>
      </c>
      <c r="C24" s="8" t="s">
        <v>48</v>
      </c>
      <c r="D24" s="10" t="s">
        <v>46</v>
      </c>
      <c r="E24" s="11"/>
      <c r="F24" s="11"/>
      <c r="G24" s="21"/>
      <c r="H24" s="72">
        <v>418400</v>
      </c>
      <c r="I24" s="11"/>
      <c r="J24" s="11"/>
      <c r="K24" s="12">
        <f t="shared" si="0"/>
        <v>418400</v>
      </c>
      <c r="L24" s="75" t="s">
        <v>119</v>
      </c>
      <c r="M24" s="14"/>
    </row>
    <row r="25" spans="1:13" ht="18" customHeight="1" x14ac:dyDescent="0.25">
      <c r="A25" s="9" t="s">
        <v>139</v>
      </c>
      <c r="B25" s="9" t="s">
        <v>133</v>
      </c>
      <c r="C25" s="8" t="s">
        <v>132</v>
      </c>
      <c r="D25" s="10" t="s">
        <v>46</v>
      </c>
      <c r="E25" s="11"/>
      <c r="F25" s="11"/>
      <c r="G25" s="21"/>
      <c r="H25" s="72">
        <v>128600</v>
      </c>
      <c r="I25" s="11"/>
      <c r="J25" s="11"/>
      <c r="K25" s="12">
        <f t="shared" si="0"/>
        <v>128600</v>
      </c>
      <c r="L25" s="75" t="s">
        <v>134</v>
      </c>
      <c r="M25" s="14"/>
    </row>
    <row r="26" spans="1:13" ht="18" customHeight="1" x14ac:dyDescent="0.25">
      <c r="A26" s="76" t="s">
        <v>140</v>
      </c>
      <c r="B26" s="76" t="s">
        <v>135</v>
      </c>
      <c r="C26" s="8" t="s">
        <v>132</v>
      </c>
      <c r="D26" s="10" t="s">
        <v>46</v>
      </c>
      <c r="E26" s="11"/>
      <c r="F26" s="11"/>
      <c r="G26" s="21"/>
      <c r="H26" s="72">
        <f>23500+1000000</f>
        <v>1023500</v>
      </c>
      <c r="I26" s="11"/>
      <c r="J26" s="11"/>
      <c r="K26" s="12">
        <f t="shared" si="0"/>
        <v>1023500</v>
      </c>
      <c r="L26" s="75" t="s">
        <v>136</v>
      </c>
      <c r="M26" s="14"/>
    </row>
    <row r="27" spans="1:13" ht="18" customHeight="1" x14ac:dyDescent="0.25">
      <c r="A27" s="9" t="s">
        <v>141</v>
      </c>
      <c r="B27" s="9" t="s">
        <v>137</v>
      </c>
      <c r="C27" s="8" t="s">
        <v>132</v>
      </c>
      <c r="D27" s="10" t="s">
        <v>46</v>
      </c>
      <c r="E27" s="11"/>
      <c r="F27" s="11"/>
      <c r="G27" s="21"/>
      <c r="H27" s="72">
        <v>416500</v>
      </c>
      <c r="I27" s="11"/>
      <c r="J27" s="11"/>
      <c r="K27" s="12">
        <f t="shared" si="0"/>
        <v>416500</v>
      </c>
      <c r="L27" s="75" t="s">
        <v>138</v>
      </c>
      <c r="M27" s="14"/>
    </row>
    <row r="28" spans="1:13" ht="18" customHeight="1" x14ac:dyDescent="0.25">
      <c r="A28" s="9" t="s">
        <v>142</v>
      </c>
      <c r="B28" s="9" t="s">
        <v>137</v>
      </c>
      <c r="C28" s="8" t="s">
        <v>132</v>
      </c>
      <c r="D28" s="10" t="s">
        <v>46</v>
      </c>
      <c r="E28" s="11"/>
      <c r="F28" s="11"/>
      <c r="G28" s="21"/>
      <c r="H28" s="72">
        <f>184600+350000</f>
        <v>534600</v>
      </c>
      <c r="I28" s="11"/>
      <c r="J28" s="11"/>
      <c r="K28" s="12">
        <f t="shared" si="0"/>
        <v>534600</v>
      </c>
      <c r="L28" s="75" t="s">
        <v>143</v>
      </c>
      <c r="M28" s="14"/>
    </row>
    <row r="29" spans="1:13" ht="18" customHeight="1" x14ac:dyDescent="0.25">
      <c r="A29" s="9" t="s">
        <v>144</v>
      </c>
      <c r="B29" s="9" t="s">
        <v>137</v>
      </c>
      <c r="C29" s="8" t="s">
        <v>132</v>
      </c>
      <c r="D29" s="10" t="s">
        <v>46</v>
      </c>
      <c r="E29" s="11"/>
      <c r="F29" s="11"/>
      <c r="G29" s="21"/>
      <c r="H29" s="72">
        <v>208300</v>
      </c>
      <c r="I29" s="11"/>
      <c r="J29" s="11"/>
      <c r="K29" s="12">
        <f t="shared" si="0"/>
        <v>208300</v>
      </c>
      <c r="L29" s="75" t="s">
        <v>145</v>
      </c>
      <c r="M29" s="14"/>
    </row>
    <row r="30" spans="1:13" ht="18" customHeight="1" x14ac:dyDescent="0.25">
      <c r="A30" s="9" t="s">
        <v>146</v>
      </c>
      <c r="B30" s="9" t="s">
        <v>62</v>
      </c>
      <c r="C30" s="8" t="s">
        <v>132</v>
      </c>
      <c r="D30" s="10" t="s">
        <v>46</v>
      </c>
      <c r="E30" s="11"/>
      <c r="F30" s="11"/>
      <c r="G30" s="21"/>
      <c r="H30" s="72">
        <v>266600</v>
      </c>
      <c r="I30" s="11"/>
      <c r="J30" s="11"/>
      <c r="K30" s="12">
        <f t="shared" si="0"/>
        <v>266600</v>
      </c>
      <c r="L30" s="75" t="s">
        <v>147</v>
      </c>
      <c r="M30" s="14"/>
    </row>
    <row r="31" spans="1:13" ht="18" customHeight="1" x14ac:dyDescent="0.25">
      <c r="A31" s="9" t="s">
        <v>148</v>
      </c>
      <c r="B31" s="9" t="s">
        <v>62</v>
      </c>
      <c r="C31" s="8" t="s">
        <v>132</v>
      </c>
      <c r="D31" s="10" t="s">
        <v>46</v>
      </c>
      <c r="E31" s="11"/>
      <c r="F31" s="11"/>
      <c r="G31" s="11"/>
      <c r="H31" s="73">
        <v>266600</v>
      </c>
      <c r="I31" s="11"/>
      <c r="J31" s="11"/>
      <c r="K31" s="12">
        <f t="shared" si="0"/>
        <v>266600</v>
      </c>
      <c r="L31" s="75" t="s">
        <v>149</v>
      </c>
      <c r="M31" s="14"/>
    </row>
    <row r="32" spans="1:13" ht="18" customHeight="1" x14ac:dyDescent="0.25">
      <c r="A32" s="23" t="s">
        <v>63</v>
      </c>
      <c r="B32" s="24" t="s">
        <v>63</v>
      </c>
      <c r="C32" s="23" t="s">
        <v>64</v>
      </c>
      <c r="D32" s="25" t="s">
        <v>64</v>
      </c>
      <c r="E32" s="26">
        <v>77700</v>
      </c>
      <c r="F32" s="27"/>
      <c r="G32" s="26"/>
      <c r="H32" s="26">
        <v>6709600</v>
      </c>
      <c r="I32" s="27"/>
      <c r="J32" s="27"/>
      <c r="K32" s="12">
        <f t="shared" si="0"/>
        <v>6787300</v>
      </c>
      <c r="L32" s="69" t="s">
        <v>116</v>
      </c>
      <c r="M32" s="29"/>
    </row>
    <row r="33" spans="1:13" ht="19.5" customHeight="1" x14ac:dyDescent="0.25">
      <c r="A33" s="66" t="s">
        <v>65</v>
      </c>
      <c r="B33" s="66"/>
      <c r="C33" s="66"/>
      <c r="D33" s="66"/>
      <c r="E33" s="30">
        <f>SUM(E4:E32)</f>
        <v>177700</v>
      </c>
      <c r="F33" s="30">
        <f>SUM(F4:F32)</f>
        <v>0</v>
      </c>
      <c r="G33" s="30">
        <f>SUM(G4:G32)</f>
        <v>0</v>
      </c>
      <c r="H33" s="30">
        <f>SUM(H4:H32)</f>
        <v>45326108</v>
      </c>
      <c r="I33" s="30">
        <f>SUM(I4:I32)</f>
        <v>0</v>
      </c>
      <c r="J33" s="30">
        <f>SUM(J4:J32)</f>
        <v>0</v>
      </c>
      <c r="K33" s="30">
        <f>SUM(K4:K32)</f>
        <v>45503808</v>
      </c>
      <c r="L33" s="31"/>
      <c r="M33" s="31"/>
    </row>
    <row r="34" spans="1:13" ht="4.5" customHeight="1" x14ac:dyDescent="0.25">
      <c r="A34" s="60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</row>
    <row r="35" spans="1:13" ht="18" customHeight="1" x14ac:dyDescent="0.25">
      <c r="A35" s="55" t="s">
        <v>66</v>
      </c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</row>
    <row r="36" spans="1:13" ht="18" customHeight="1" x14ac:dyDescent="0.25">
      <c r="A36" s="63" t="s">
        <v>67</v>
      </c>
      <c r="B36" s="63"/>
      <c r="C36" s="63"/>
      <c r="D36" s="63"/>
      <c r="E36" s="32">
        <f t="shared" ref="E36:K36" si="1">E33</f>
        <v>177700</v>
      </c>
      <c r="F36" s="32">
        <f t="shared" si="1"/>
        <v>0</v>
      </c>
      <c r="G36" s="32">
        <f t="shared" si="1"/>
        <v>0</v>
      </c>
      <c r="H36" s="32">
        <f>H33</f>
        <v>45326108</v>
      </c>
      <c r="I36" s="32">
        <f t="shared" si="1"/>
        <v>0</v>
      </c>
      <c r="J36" s="32">
        <f t="shared" si="1"/>
        <v>0</v>
      </c>
      <c r="K36" s="32">
        <f t="shared" si="1"/>
        <v>45503808</v>
      </c>
      <c r="L36" s="33"/>
      <c r="M36" s="33"/>
    </row>
    <row r="37" spans="1:13" ht="18" customHeight="1" x14ac:dyDescent="0.25">
      <c r="A37" s="59" t="s">
        <v>68</v>
      </c>
      <c r="B37" s="59"/>
      <c r="C37" s="59"/>
      <c r="D37" s="59"/>
      <c r="E37" s="34">
        <v>1177700</v>
      </c>
      <c r="F37" s="34">
        <v>0</v>
      </c>
      <c r="G37" s="34">
        <v>0</v>
      </c>
      <c r="H37" s="34">
        <v>44326100</v>
      </c>
      <c r="I37" s="34">
        <v>0</v>
      </c>
      <c r="J37" s="34">
        <v>0</v>
      </c>
      <c r="K37" s="35">
        <f t="shared" ref="K37:K43" si="2">SUM(E37:J37)</f>
        <v>45503800</v>
      </c>
      <c r="L37" s="36"/>
      <c r="M37" s="36"/>
    </row>
    <row r="38" spans="1:13" ht="18" customHeight="1" x14ac:dyDescent="0.25">
      <c r="A38" s="59" t="s">
        <v>69</v>
      </c>
      <c r="B38" s="59"/>
      <c r="C38" s="59"/>
      <c r="D38" s="59"/>
      <c r="E38" s="37">
        <v>1</v>
      </c>
      <c r="F38" s="37">
        <v>0</v>
      </c>
      <c r="G38" s="37">
        <v>0</v>
      </c>
      <c r="H38" s="37">
        <v>6</v>
      </c>
      <c r="I38" s="37">
        <v>0</v>
      </c>
      <c r="J38" s="37">
        <v>0</v>
      </c>
      <c r="K38" s="38">
        <f t="shared" si="2"/>
        <v>7</v>
      </c>
      <c r="L38" s="36"/>
      <c r="M38" s="36"/>
    </row>
    <row r="39" spans="1:13" ht="18" customHeight="1" x14ac:dyDescent="0.25">
      <c r="A39" s="62" t="s">
        <v>70</v>
      </c>
      <c r="B39" s="62"/>
      <c r="C39" s="62"/>
      <c r="D39" s="62"/>
      <c r="E39" s="39">
        <f>SUMIFS(E4:E32,B4:B32,"BCA*")</f>
        <v>0</v>
      </c>
      <c r="F39" s="39">
        <f>SUMIFS(F4:F32,B4:B32,"BCA*")</f>
        <v>0</v>
      </c>
      <c r="G39" s="39">
        <f>SUMIFS(G4:G32,B4:B32,"BCA*")</f>
        <v>0</v>
      </c>
      <c r="H39" s="39">
        <f>SUMIFS(H4:H32,B4:B32,"BCA*")</f>
        <v>14043200</v>
      </c>
      <c r="I39" s="39">
        <f>SUMIFS(I4:I32,B4:B32,"BCA*")</f>
        <v>0</v>
      </c>
      <c r="J39" s="39">
        <f>SUMIFS(J4:J32,B4:B32,"BCA*")</f>
        <v>0</v>
      </c>
      <c r="K39" s="32">
        <f t="shared" si="2"/>
        <v>14043200</v>
      </c>
      <c r="L39" s="33"/>
      <c r="M39" s="33"/>
    </row>
    <row r="40" spans="1:13" ht="18" customHeight="1" x14ac:dyDescent="0.25">
      <c r="A40" s="62" t="s">
        <v>71</v>
      </c>
      <c r="B40" s="62"/>
      <c r="C40" s="62"/>
      <c r="D40" s="62"/>
      <c r="E40" s="39">
        <f>SUMIFS(E4:E32,B4:B32,"BNI*")</f>
        <v>100000</v>
      </c>
      <c r="F40" s="39">
        <f>SUMIFS(F4:F32,B4:B32,"BNI*")</f>
        <v>0</v>
      </c>
      <c r="G40" s="39">
        <f>SUMIFS(G4:G32,B4:B32,"BNI*")</f>
        <v>0</v>
      </c>
      <c r="H40" s="39">
        <f>SUMIFS(H4:H32,B4:B32,"BNI*")</f>
        <v>17703908</v>
      </c>
      <c r="I40" s="39">
        <f>SUMIFS(I4:I32,B4:B32,"BNI*")</f>
        <v>0</v>
      </c>
      <c r="J40" s="39">
        <f>SUMIFS(J4:J32,B4:B32,"BNI*")</f>
        <v>0</v>
      </c>
      <c r="K40" s="32">
        <f t="shared" si="2"/>
        <v>17803908</v>
      </c>
      <c r="L40" s="33"/>
      <c r="M40" s="33"/>
    </row>
    <row r="41" spans="1:13" ht="18" customHeight="1" x14ac:dyDescent="0.25">
      <c r="A41" s="62" t="s">
        <v>72</v>
      </c>
      <c r="B41" s="62"/>
      <c r="C41" s="62"/>
      <c r="D41" s="62"/>
      <c r="E41" s="39">
        <f>SUMIFS(E4:E32,B4:B32,"BRI*")</f>
        <v>0</v>
      </c>
      <c r="F41" s="39">
        <f>SUMIFS(F4:F32,B4:B32,"BRI*")</f>
        <v>0</v>
      </c>
      <c r="G41" s="39">
        <f>SUMIFS(G4:G32,B4:B32,"BRI*")</f>
        <v>0</v>
      </c>
      <c r="H41" s="39">
        <f>SUMIFS(H4:H32,B4:B32,"BRI*")</f>
        <v>4024700</v>
      </c>
      <c r="I41" s="39">
        <f>SUMIFS(I4:I32,B4:B32,"BRI*")</f>
        <v>0</v>
      </c>
      <c r="J41" s="39">
        <f>SUMIFS(J4:J32,B4:B32,"BRI*")</f>
        <v>0</v>
      </c>
      <c r="K41" s="32">
        <f t="shared" si="2"/>
        <v>4024700</v>
      </c>
      <c r="L41" s="33"/>
      <c r="M41" s="33"/>
    </row>
    <row r="42" spans="1:13" ht="18" customHeight="1" x14ac:dyDescent="0.25">
      <c r="A42" s="62" t="s">
        <v>73</v>
      </c>
      <c r="B42" s="62"/>
      <c r="C42" s="62"/>
      <c r="D42" s="62"/>
      <c r="E42" s="39">
        <f>SUMIFS(E4:E32,B4:B32,"MANDIRI*")</f>
        <v>0</v>
      </c>
      <c r="F42" s="39">
        <f>SUMIFS(F4:F32,B4:B32,"MANDIRI*")</f>
        <v>0</v>
      </c>
      <c r="G42" s="39">
        <f>SUMIFS(G4:G32,B4:B32,"MANDIRI*")</f>
        <v>0</v>
      </c>
      <c r="H42" s="39">
        <f>SUMIFS(H4:H32,B4:B32,"MANDIRI*")</f>
        <v>0</v>
      </c>
      <c r="I42" s="39">
        <f>SUMIFS(I4:I32,B4:B32,"MANDIRI*")</f>
        <v>0</v>
      </c>
      <c r="J42" s="39">
        <f>SUMIFS(J4:J32,B4:B32,"MANDIRI*")</f>
        <v>0</v>
      </c>
      <c r="K42" s="32">
        <f t="shared" si="2"/>
        <v>0</v>
      </c>
      <c r="L42" s="33"/>
      <c r="M42" s="33"/>
    </row>
    <row r="43" spans="1:13" ht="18" customHeight="1" x14ac:dyDescent="0.25">
      <c r="A43" s="62" t="s">
        <v>74</v>
      </c>
      <c r="B43" s="62"/>
      <c r="C43" s="62"/>
      <c r="D43" s="62"/>
      <c r="E43" s="39">
        <f>SUMIFS(E4:E32,B4:B32,"VOUCHER*")</f>
        <v>0</v>
      </c>
      <c r="F43" s="39">
        <f>SUMIFS(F4:F32,B4:B32,"VOUCHER*")</f>
        <v>0</v>
      </c>
      <c r="G43" s="39">
        <f>SUMIFS(G4:G32,B4:B32,"VOUCHER*")</f>
        <v>0</v>
      </c>
      <c r="H43" s="39">
        <f>SUMIFS(H4:H32,B4:B32,"VOUCHER*")</f>
        <v>2844700</v>
      </c>
      <c r="I43" s="39">
        <f>SUMIFS(I4:I32,B4:B32,"VOUCHER*")</f>
        <v>0</v>
      </c>
      <c r="J43" s="39">
        <f>SUMIFS(J4:J32,B4:B32,"VOUCHER*")</f>
        <v>0</v>
      </c>
      <c r="K43" s="32">
        <f t="shared" si="2"/>
        <v>2844700</v>
      </c>
      <c r="L43" s="33"/>
      <c r="M43" s="33"/>
    </row>
    <row r="44" spans="1:13" ht="18" customHeight="1" x14ac:dyDescent="0.25">
      <c r="A44" s="63" t="s">
        <v>75</v>
      </c>
      <c r="B44" s="63"/>
      <c r="C44" s="63"/>
      <c r="D44" s="63"/>
      <c r="E44" s="32">
        <f t="shared" ref="E44:K44" si="3">E32</f>
        <v>77700</v>
      </c>
      <c r="F44" s="32">
        <f t="shared" si="3"/>
        <v>0</v>
      </c>
      <c r="G44" s="32">
        <f t="shared" si="3"/>
        <v>0</v>
      </c>
      <c r="H44" s="32">
        <f>H32</f>
        <v>6709600</v>
      </c>
      <c r="I44" s="32">
        <f t="shared" si="3"/>
        <v>0</v>
      </c>
      <c r="J44" s="32">
        <f t="shared" si="3"/>
        <v>0</v>
      </c>
      <c r="K44" s="32">
        <f t="shared" si="3"/>
        <v>6787300</v>
      </c>
      <c r="L44" s="33"/>
      <c r="M44" s="33"/>
    </row>
    <row r="45" spans="1:13" ht="19.5" customHeight="1" x14ac:dyDescent="0.25">
      <c r="A45" s="63" t="s">
        <v>76</v>
      </c>
      <c r="B45" s="63"/>
      <c r="C45" s="63"/>
      <c r="D45" s="63"/>
      <c r="E45" s="32">
        <f t="shared" ref="E45:K45" si="4">E39+E40+E41+E42+E43+E44</f>
        <v>177700</v>
      </c>
      <c r="F45" s="32">
        <f t="shared" si="4"/>
        <v>0</v>
      </c>
      <c r="G45" s="32">
        <f t="shared" si="4"/>
        <v>0</v>
      </c>
      <c r="H45" s="32">
        <f>H39+H40+H41+H42+H43+H44</f>
        <v>45326108</v>
      </c>
      <c r="I45" s="32">
        <f t="shared" si="4"/>
        <v>0</v>
      </c>
      <c r="J45" s="32">
        <f t="shared" si="4"/>
        <v>0</v>
      </c>
      <c r="K45" s="32">
        <f t="shared" si="4"/>
        <v>45503808</v>
      </c>
      <c r="L45" s="33"/>
      <c r="M45" s="33"/>
    </row>
    <row r="46" spans="1:13" ht="19.5" customHeight="1" x14ac:dyDescent="0.25">
      <c r="A46" s="58" t="s">
        <v>77</v>
      </c>
      <c r="B46" s="58"/>
      <c r="C46" s="58"/>
      <c r="D46" s="58"/>
      <c r="E46" s="40">
        <f t="shared" ref="E46:K46" si="5">E37-E45</f>
        <v>1000000</v>
      </c>
      <c r="F46" s="40">
        <f t="shared" si="5"/>
        <v>0</v>
      </c>
      <c r="G46" s="40">
        <f t="shared" si="5"/>
        <v>0</v>
      </c>
      <c r="H46" s="40">
        <f>H37-H45</f>
        <v>-1000008</v>
      </c>
      <c r="I46" s="40">
        <f t="shared" si="5"/>
        <v>0</v>
      </c>
      <c r="J46" s="40">
        <f t="shared" si="5"/>
        <v>0</v>
      </c>
      <c r="K46" s="40">
        <f t="shared" si="5"/>
        <v>-8</v>
      </c>
      <c r="L46" s="41"/>
      <c r="M46" s="41" t="s">
        <v>150</v>
      </c>
    </row>
    <row r="47" spans="1:13" ht="18" customHeight="1" x14ac:dyDescent="0.25">
      <c r="A47" s="59" t="s">
        <v>78</v>
      </c>
      <c r="B47" s="59"/>
      <c r="C47" s="59"/>
      <c r="D47" s="59"/>
      <c r="E47" s="37">
        <v>3</v>
      </c>
      <c r="F47" s="37">
        <v>0</v>
      </c>
      <c r="G47" s="37">
        <v>0</v>
      </c>
      <c r="H47" s="37">
        <v>60</v>
      </c>
      <c r="I47" s="37">
        <v>0</v>
      </c>
      <c r="J47" s="37">
        <v>0</v>
      </c>
      <c r="K47" s="38">
        <f>SUM(E47:J47)</f>
        <v>63</v>
      </c>
      <c r="L47" s="36"/>
      <c r="M47" s="36"/>
    </row>
    <row r="48" spans="1:13" ht="4.5" customHeight="1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</row>
    <row r="49" spans="1:13" ht="21.75" customHeight="1" x14ac:dyDescent="0.25">
      <c r="A49" s="67" t="s">
        <v>79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</row>
    <row r="50" spans="1:13" ht="21.75" customHeight="1" x14ac:dyDescent="0.25">
      <c r="A50" s="4" t="s">
        <v>22</v>
      </c>
      <c r="B50" s="4" t="s">
        <v>23</v>
      </c>
      <c r="C50" s="4" t="s">
        <v>24</v>
      </c>
      <c r="D50" s="4" t="s">
        <v>25</v>
      </c>
      <c r="E50" s="4" t="s">
        <v>26</v>
      </c>
      <c r="F50" s="4" t="s">
        <v>27</v>
      </c>
      <c r="G50" s="4" t="s">
        <v>28</v>
      </c>
      <c r="H50" s="4" t="s">
        <v>29</v>
      </c>
      <c r="I50" s="4" t="s">
        <v>30</v>
      </c>
      <c r="J50" s="4" t="s">
        <v>31</v>
      </c>
      <c r="K50" s="5" t="s">
        <v>32</v>
      </c>
      <c r="L50" s="4" t="s">
        <v>33</v>
      </c>
      <c r="M50" s="4" t="s">
        <v>34</v>
      </c>
    </row>
    <row r="51" spans="1:13" ht="18" customHeight="1" x14ac:dyDescent="0.25">
      <c r="A51" s="64" t="s">
        <v>35</v>
      </c>
      <c r="B51" s="64"/>
      <c r="C51" s="64"/>
      <c r="D51" s="64"/>
      <c r="E51" s="6" t="s">
        <v>36</v>
      </c>
      <c r="F51" s="6" t="s">
        <v>40</v>
      </c>
      <c r="G51" s="6" t="s">
        <v>38</v>
      </c>
      <c r="H51" s="6" t="s">
        <v>94</v>
      </c>
      <c r="I51" s="6" t="s">
        <v>114</v>
      </c>
      <c r="J51" s="6" t="s">
        <v>41</v>
      </c>
      <c r="K51" s="7"/>
      <c r="L51" s="65" t="s">
        <v>42</v>
      </c>
      <c r="M51" s="65"/>
    </row>
    <row r="52" spans="1:13" ht="18" customHeight="1" x14ac:dyDescent="0.25">
      <c r="A52" s="8" t="s">
        <v>80</v>
      </c>
      <c r="B52" s="9" t="s">
        <v>81</v>
      </c>
      <c r="C52" s="8" t="s">
        <v>45</v>
      </c>
      <c r="D52" s="10" t="s">
        <v>82</v>
      </c>
      <c r="E52" s="72"/>
      <c r="F52" s="72"/>
      <c r="G52" s="72">
        <v>72600</v>
      </c>
      <c r="H52" s="73"/>
      <c r="I52" s="72"/>
      <c r="J52" s="72"/>
      <c r="K52" s="12">
        <f t="shared" ref="K52:K73" si="6">SUM(E52:J52)</f>
        <v>72600</v>
      </c>
      <c r="L52" s="75" t="s">
        <v>176</v>
      </c>
      <c r="M52" s="14"/>
    </row>
    <row r="53" spans="1:13" ht="18" customHeight="1" x14ac:dyDescent="0.25">
      <c r="A53" s="15" t="s">
        <v>80</v>
      </c>
      <c r="B53" s="16" t="s">
        <v>81</v>
      </c>
      <c r="C53" s="15" t="s">
        <v>47</v>
      </c>
      <c r="D53" s="17" t="s">
        <v>82</v>
      </c>
      <c r="E53" s="70"/>
      <c r="F53" s="70"/>
      <c r="G53" s="70"/>
      <c r="H53" s="70"/>
      <c r="I53" s="70"/>
      <c r="J53" s="70"/>
      <c r="K53" s="12">
        <f t="shared" si="6"/>
        <v>0</v>
      </c>
      <c r="L53" s="19"/>
      <c r="M53" s="20"/>
    </row>
    <row r="54" spans="1:13" ht="18" customHeight="1" x14ac:dyDescent="0.25">
      <c r="A54" s="8" t="s">
        <v>80</v>
      </c>
      <c r="B54" s="9" t="s">
        <v>81</v>
      </c>
      <c r="C54" s="8" t="s">
        <v>48</v>
      </c>
      <c r="D54" s="10" t="s">
        <v>82</v>
      </c>
      <c r="E54" s="72"/>
      <c r="F54" s="72"/>
      <c r="G54" s="72">
        <v>31042400</v>
      </c>
      <c r="H54" s="72"/>
      <c r="I54" s="72"/>
      <c r="J54" s="72"/>
      <c r="K54" s="12">
        <f t="shared" si="6"/>
        <v>31042400</v>
      </c>
      <c r="L54" s="75" t="s">
        <v>177</v>
      </c>
      <c r="M54" s="14"/>
    </row>
    <row r="55" spans="1:13" ht="18" customHeight="1" x14ac:dyDescent="0.25">
      <c r="A55" s="15" t="s">
        <v>83</v>
      </c>
      <c r="B55" s="16" t="s">
        <v>84</v>
      </c>
      <c r="C55" s="15" t="s">
        <v>45</v>
      </c>
      <c r="D55" s="17" t="s">
        <v>85</v>
      </c>
      <c r="E55" s="74"/>
      <c r="F55" s="70"/>
      <c r="G55" s="70">
        <v>181500</v>
      </c>
      <c r="H55" s="70"/>
      <c r="I55" s="70"/>
      <c r="J55" s="70"/>
      <c r="K55" s="12">
        <f t="shared" si="6"/>
        <v>181500</v>
      </c>
      <c r="L55" s="99" t="s">
        <v>168</v>
      </c>
      <c r="M55" s="20"/>
    </row>
    <row r="56" spans="1:13" ht="18" customHeight="1" x14ac:dyDescent="0.25">
      <c r="A56" s="8" t="s">
        <v>83</v>
      </c>
      <c r="B56" s="9" t="s">
        <v>84</v>
      </c>
      <c r="C56" s="8" t="s">
        <v>47</v>
      </c>
      <c r="D56" s="10" t="s">
        <v>85</v>
      </c>
      <c r="E56" s="72"/>
      <c r="F56" s="72"/>
      <c r="G56" s="72"/>
      <c r="H56" s="72"/>
      <c r="I56" s="72"/>
      <c r="J56" s="72"/>
      <c r="K56" s="12">
        <f t="shared" si="6"/>
        <v>0</v>
      </c>
      <c r="L56" s="13"/>
      <c r="M56" s="14"/>
    </row>
    <row r="57" spans="1:13" ht="18.75" customHeight="1" x14ac:dyDescent="0.25">
      <c r="A57" s="15" t="s">
        <v>83</v>
      </c>
      <c r="B57" s="16" t="s">
        <v>84</v>
      </c>
      <c r="C57" s="15" t="s">
        <v>48</v>
      </c>
      <c r="D57" s="17" t="s">
        <v>85</v>
      </c>
      <c r="E57" s="70"/>
      <c r="F57" s="70"/>
      <c r="G57" s="70">
        <f>453800+744200</f>
        <v>1198000</v>
      </c>
      <c r="H57" s="70"/>
      <c r="I57" s="70"/>
      <c r="J57" s="70"/>
      <c r="K57" s="12">
        <f t="shared" si="6"/>
        <v>1198000</v>
      </c>
      <c r="L57" s="99" t="s">
        <v>169</v>
      </c>
      <c r="M57" s="20"/>
    </row>
    <row r="58" spans="1:13" s="85" customFormat="1" ht="18.75" customHeight="1" x14ac:dyDescent="0.25">
      <c r="A58" s="77">
        <v>8891</v>
      </c>
      <c r="B58" s="78" t="s">
        <v>151</v>
      </c>
      <c r="C58" s="77" t="s">
        <v>45</v>
      </c>
      <c r="D58" s="97" t="s">
        <v>152</v>
      </c>
      <c r="E58" s="81"/>
      <c r="F58" s="81"/>
      <c r="G58" s="81"/>
      <c r="H58" s="81"/>
      <c r="I58" s="81"/>
      <c r="J58" s="82"/>
      <c r="K58" s="92">
        <f t="shared" si="6"/>
        <v>0</v>
      </c>
      <c r="L58" s="84"/>
    </row>
    <row r="59" spans="1:13" s="95" customFormat="1" ht="18.75" customHeight="1" x14ac:dyDescent="0.25">
      <c r="A59" s="87">
        <v>8891</v>
      </c>
      <c r="B59" s="88" t="s">
        <v>151</v>
      </c>
      <c r="C59" s="89" t="s">
        <v>47</v>
      </c>
      <c r="D59" s="97" t="s">
        <v>152</v>
      </c>
      <c r="E59" s="91"/>
      <c r="F59" s="91"/>
      <c r="G59" s="91"/>
      <c r="H59" s="91"/>
      <c r="I59" s="91"/>
      <c r="J59" s="91"/>
      <c r="K59" s="92">
        <f t="shared" si="6"/>
        <v>0</v>
      </c>
      <c r="L59" s="93"/>
      <c r="M59" s="94"/>
    </row>
    <row r="60" spans="1:13" s="85" customFormat="1" ht="18.75" customHeight="1" x14ac:dyDescent="0.25">
      <c r="A60" s="77">
        <v>8891</v>
      </c>
      <c r="B60" s="78" t="s">
        <v>151</v>
      </c>
      <c r="C60" s="77" t="s">
        <v>48</v>
      </c>
      <c r="D60" s="97" t="s">
        <v>152</v>
      </c>
      <c r="E60" s="81">
        <v>1260000</v>
      </c>
      <c r="F60" s="81"/>
      <c r="G60" s="81"/>
      <c r="H60" s="81">
        <v>3935700</v>
      </c>
      <c r="I60" s="81"/>
      <c r="J60" s="81"/>
      <c r="K60" s="82">
        <f t="shared" si="6"/>
        <v>5195700</v>
      </c>
      <c r="L60" s="96" t="s">
        <v>158</v>
      </c>
      <c r="M60" s="84"/>
    </row>
    <row r="61" spans="1:13" ht="18.75" customHeight="1" x14ac:dyDescent="0.25">
      <c r="A61" s="15">
        <v>2304</v>
      </c>
      <c r="B61" s="16" t="s">
        <v>153</v>
      </c>
      <c r="C61" s="15" t="s">
        <v>45</v>
      </c>
      <c r="D61" s="17" t="s">
        <v>85</v>
      </c>
      <c r="E61" s="70">
        <v>6720000</v>
      </c>
      <c r="F61" s="70"/>
      <c r="G61" s="70"/>
      <c r="H61" s="70"/>
      <c r="I61" s="70"/>
      <c r="J61" s="70"/>
      <c r="K61" s="12">
        <f t="shared" si="6"/>
        <v>6720000</v>
      </c>
      <c r="L61" s="71" t="s">
        <v>154</v>
      </c>
      <c r="M61" s="20"/>
    </row>
    <row r="62" spans="1:13" s="85" customFormat="1" ht="18.75" customHeight="1" x14ac:dyDescent="0.25">
      <c r="A62" s="77">
        <v>2304</v>
      </c>
      <c r="B62" s="78" t="s">
        <v>153</v>
      </c>
      <c r="C62" s="79" t="s">
        <v>47</v>
      </c>
      <c r="D62" s="80" t="s">
        <v>85</v>
      </c>
      <c r="E62" s="81"/>
      <c r="F62" s="81"/>
      <c r="G62" s="81"/>
      <c r="H62" s="81"/>
      <c r="I62" s="81"/>
      <c r="J62" s="81"/>
      <c r="K62" s="82">
        <f t="shared" si="6"/>
        <v>0</v>
      </c>
      <c r="L62" s="83"/>
      <c r="M62" s="84"/>
    </row>
    <row r="63" spans="1:13" ht="18.75" customHeight="1" x14ac:dyDescent="0.25">
      <c r="A63" s="15">
        <v>2304</v>
      </c>
      <c r="B63" s="16" t="s">
        <v>153</v>
      </c>
      <c r="C63" s="15" t="s">
        <v>48</v>
      </c>
      <c r="D63" s="17" t="s">
        <v>85</v>
      </c>
      <c r="E63" s="70">
        <v>265000</v>
      </c>
      <c r="F63" s="70"/>
      <c r="G63" s="70"/>
      <c r="H63" s="70">
        <v>299000</v>
      </c>
      <c r="I63" s="70"/>
      <c r="J63" s="70"/>
      <c r="K63" s="82">
        <f t="shared" si="6"/>
        <v>564000</v>
      </c>
      <c r="L63" s="71" t="s">
        <v>157</v>
      </c>
      <c r="M63" s="20"/>
    </row>
    <row r="64" spans="1:13" s="85" customFormat="1" ht="18.75" customHeight="1" x14ac:dyDescent="0.25">
      <c r="A64" s="77">
        <v>7308</v>
      </c>
      <c r="B64" s="100" t="s">
        <v>100</v>
      </c>
      <c r="C64" s="77" t="s">
        <v>45</v>
      </c>
      <c r="D64" s="86" t="s">
        <v>101</v>
      </c>
      <c r="E64" s="81"/>
      <c r="F64" s="81"/>
      <c r="G64" s="81">
        <v>145200</v>
      </c>
      <c r="H64" s="81"/>
      <c r="I64" s="81"/>
      <c r="J64" s="81"/>
      <c r="K64" s="82">
        <f t="shared" si="6"/>
        <v>145200</v>
      </c>
      <c r="L64" s="104" t="s">
        <v>170</v>
      </c>
      <c r="M64" s="84"/>
    </row>
    <row r="65" spans="1:13" s="95" customFormat="1" ht="18.75" customHeight="1" x14ac:dyDescent="0.25">
      <c r="A65" s="77">
        <v>7308</v>
      </c>
      <c r="B65" s="101" t="s">
        <v>100</v>
      </c>
      <c r="C65" s="89" t="s">
        <v>47</v>
      </c>
      <c r="D65" s="90" t="s">
        <v>101</v>
      </c>
      <c r="E65" s="91"/>
      <c r="F65" s="91"/>
      <c r="G65" s="91"/>
      <c r="H65" s="91"/>
      <c r="I65" s="91"/>
      <c r="J65" s="91"/>
      <c r="K65" s="82">
        <f t="shared" si="6"/>
        <v>0</v>
      </c>
      <c r="L65" s="102"/>
      <c r="M65" s="94"/>
    </row>
    <row r="66" spans="1:13" s="85" customFormat="1" ht="18.75" customHeight="1" x14ac:dyDescent="0.25">
      <c r="A66" s="77">
        <v>7308</v>
      </c>
      <c r="B66" s="100" t="s">
        <v>100</v>
      </c>
      <c r="C66" s="77" t="s">
        <v>48</v>
      </c>
      <c r="D66" s="86" t="s">
        <v>101</v>
      </c>
      <c r="E66" s="81"/>
      <c r="F66" s="81"/>
      <c r="G66" s="81">
        <v>2317300</v>
      </c>
      <c r="H66" s="81"/>
      <c r="I66" s="81"/>
      <c r="J66" s="81"/>
      <c r="K66" s="82">
        <f t="shared" si="6"/>
        <v>2317300</v>
      </c>
      <c r="L66" s="104" t="s">
        <v>171</v>
      </c>
      <c r="M66" s="84"/>
    </row>
    <row r="67" spans="1:13" s="95" customFormat="1" ht="18.75" customHeight="1" x14ac:dyDescent="0.25">
      <c r="A67" s="87">
        <v>211</v>
      </c>
      <c r="B67" s="88" t="s">
        <v>155</v>
      </c>
      <c r="C67" s="87" t="s">
        <v>45</v>
      </c>
      <c r="D67" s="103" t="s">
        <v>82</v>
      </c>
      <c r="E67" s="91">
        <v>2437500</v>
      </c>
      <c r="F67" s="91"/>
      <c r="G67" s="91"/>
      <c r="H67" s="91"/>
      <c r="I67" s="91"/>
      <c r="J67" s="91"/>
      <c r="K67" s="82">
        <f t="shared" si="6"/>
        <v>2437500</v>
      </c>
      <c r="L67" s="102" t="s">
        <v>156</v>
      </c>
      <c r="M67" s="94" t="s">
        <v>162</v>
      </c>
    </row>
    <row r="68" spans="1:13" s="85" customFormat="1" ht="18.75" customHeight="1" x14ac:dyDescent="0.25">
      <c r="A68" s="77">
        <v>6981</v>
      </c>
      <c r="B68" s="78" t="s">
        <v>159</v>
      </c>
      <c r="C68" s="77" t="s">
        <v>104</v>
      </c>
      <c r="D68" s="80" t="s">
        <v>82</v>
      </c>
      <c r="E68" s="81"/>
      <c r="F68" s="81"/>
      <c r="G68" s="81"/>
      <c r="H68" s="81">
        <v>13007500</v>
      </c>
      <c r="I68" s="81"/>
      <c r="J68" s="81"/>
      <c r="K68" s="82">
        <f t="shared" si="6"/>
        <v>13007500</v>
      </c>
      <c r="L68" s="96" t="s">
        <v>163</v>
      </c>
      <c r="M68" s="84" t="s">
        <v>160</v>
      </c>
    </row>
    <row r="69" spans="1:13" s="95" customFormat="1" ht="18.75" customHeight="1" x14ac:dyDescent="0.25">
      <c r="A69" s="87">
        <v>6981</v>
      </c>
      <c r="B69" s="88" t="s">
        <v>159</v>
      </c>
      <c r="C69" s="77" t="s">
        <v>104</v>
      </c>
      <c r="D69" s="103" t="s">
        <v>82</v>
      </c>
      <c r="E69" s="91"/>
      <c r="F69" s="91"/>
      <c r="G69" s="91"/>
      <c r="H69" s="91">
        <v>13007500</v>
      </c>
      <c r="I69" s="91"/>
      <c r="J69" s="91"/>
      <c r="K69" s="92">
        <f t="shared" si="6"/>
        <v>13007500</v>
      </c>
      <c r="L69" s="102" t="s">
        <v>164</v>
      </c>
      <c r="M69" s="94" t="s">
        <v>161</v>
      </c>
    </row>
    <row r="70" spans="1:13" s="95" customFormat="1" ht="18.75" customHeight="1" x14ac:dyDescent="0.25">
      <c r="A70" s="87">
        <v>122</v>
      </c>
      <c r="B70" s="88" t="s">
        <v>173</v>
      </c>
      <c r="C70" s="77" t="s">
        <v>104</v>
      </c>
      <c r="D70" s="103" t="s">
        <v>172</v>
      </c>
      <c r="E70" s="91"/>
      <c r="F70" s="91"/>
      <c r="G70" s="91">
        <v>39930000</v>
      </c>
      <c r="H70" s="91"/>
      <c r="I70" s="91"/>
      <c r="J70" s="91"/>
      <c r="K70" s="92">
        <f t="shared" si="6"/>
        <v>39930000</v>
      </c>
      <c r="L70" s="102" t="s">
        <v>174</v>
      </c>
      <c r="M70" s="94" t="s">
        <v>175</v>
      </c>
    </row>
    <row r="71" spans="1:13" s="85" customFormat="1" ht="18.75" customHeight="1" x14ac:dyDescent="0.25">
      <c r="A71" s="77" t="s">
        <v>165</v>
      </c>
      <c r="B71" s="78" t="s">
        <v>62</v>
      </c>
      <c r="C71" s="77" t="s">
        <v>132</v>
      </c>
      <c r="D71" s="80"/>
      <c r="E71" s="81"/>
      <c r="F71" s="81"/>
      <c r="G71" s="81">
        <f>216000+108000</f>
        <v>324000</v>
      </c>
      <c r="H71" s="81"/>
      <c r="I71" s="81"/>
      <c r="J71" s="81"/>
      <c r="K71" s="92">
        <f t="shared" si="6"/>
        <v>324000</v>
      </c>
      <c r="L71" s="96" t="s">
        <v>166</v>
      </c>
      <c r="M71" s="84"/>
    </row>
    <row r="72" spans="1:13" s="85" customFormat="1" ht="18.75" hidden="1" customHeight="1" x14ac:dyDescent="0.25">
      <c r="A72" s="77"/>
      <c r="B72" s="78"/>
      <c r="C72" s="77"/>
      <c r="D72" s="80"/>
      <c r="E72" s="81"/>
      <c r="F72" s="81"/>
      <c r="G72" s="81"/>
      <c r="H72" s="81"/>
      <c r="I72" s="81"/>
      <c r="J72" s="81"/>
      <c r="K72" s="82">
        <f t="shared" si="6"/>
        <v>0</v>
      </c>
      <c r="L72" s="96"/>
      <c r="M72" s="84"/>
    </row>
    <row r="73" spans="1:13" ht="18" customHeight="1" x14ac:dyDescent="0.25">
      <c r="A73" s="23" t="s">
        <v>63</v>
      </c>
      <c r="B73" s="24" t="s">
        <v>63</v>
      </c>
      <c r="C73" s="23" t="s">
        <v>64</v>
      </c>
      <c r="D73" s="25" t="s">
        <v>64</v>
      </c>
      <c r="E73" s="26">
        <v>500000</v>
      </c>
      <c r="F73" s="27"/>
      <c r="G73" s="105">
        <v>43124900</v>
      </c>
      <c r="H73" s="26">
        <v>2650000</v>
      </c>
      <c r="I73" s="27"/>
      <c r="J73" s="27"/>
      <c r="K73" s="12">
        <f t="shared" si="6"/>
        <v>46274900</v>
      </c>
      <c r="L73" s="98" t="s">
        <v>167</v>
      </c>
      <c r="M73" s="29"/>
    </row>
    <row r="74" spans="1:13" ht="19.5" customHeight="1" x14ac:dyDescent="0.25">
      <c r="A74" s="66" t="s">
        <v>86</v>
      </c>
      <c r="B74" s="66"/>
      <c r="C74" s="66"/>
      <c r="D74" s="66"/>
      <c r="E74" s="30">
        <f>SUM(E52:E73)</f>
        <v>11182500</v>
      </c>
      <c r="F74" s="30">
        <f>SUM(F52:F73)</f>
        <v>0</v>
      </c>
      <c r="G74" s="30">
        <f>SUM(G52:G73)</f>
        <v>118335900</v>
      </c>
      <c r="H74" s="30">
        <f>SUM(H52:H73)</f>
        <v>32899700</v>
      </c>
      <c r="I74" s="30">
        <f>SUM(I52:I73)</f>
        <v>0</v>
      </c>
      <c r="J74" s="30">
        <f>SUM(J52:J73)</f>
        <v>0</v>
      </c>
      <c r="K74" s="30">
        <f>SUM(K52:K73)</f>
        <v>162418100</v>
      </c>
      <c r="L74" s="31"/>
      <c r="M74" s="31"/>
    </row>
    <row r="75" spans="1:13" ht="4.5" customHeight="1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</row>
    <row r="76" spans="1:13" ht="18" customHeight="1" x14ac:dyDescent="0.25">
      <c r="A76" s="55" t="s">
        <v>87</v>
      </c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</row>
    <row r="77" spans="1:13" ht="18" customHeight="1" x14ac:dyDescent="0.25">
      <c r="A77" s="63" t="s">
        <v>67</v>
      </c>
      <c r="B77" s="63"/>
      <c r="C77" s="63"/>
      <c r="D77" s="63"/>
      <c r="E77" s="32">
        <f t="shared" ref="E77:K77" si="7">E74</f>
        <v>11182500</v>
      </c>
      <c r="F77" s="32">
        <f t="shared" si="7"/>
        <v>0</v>
      </c>
      <c r="G77" s="32">
        <f t="shared" si="7"/>
        <v>118335900</v>
      </c>
      <c r="H77" s="32">
        <f t="shared" si="7"/>
        <v>32899700</v>
      </c>
      <c r="I77" s="32">
        <f t="shared" si="7"/>
        <v>0</v>
      </c>
      <c r="J77" s="32">
        <f t="shared" si="7"/>
        <v>0</v>
      </c>
      <c r="K77" s="32">
        <f t="shared" si="7"/>
        <v>162418100</v>
      </c>
      <c r="L77" s="33"/>
      <c r="M77" s="33"/>
    </row>
    <row r="78" spans="1:13" ht="18" customHeight="1" x14ac:dyDescent="0.25">
      <c r="A78" s="59" t="s">
        <v>68</v>
      </c>
      <c r="B78" s="59"/>
      <c r="C78" s="59"/>
      <c r="D78" s="59"/>
      <c r="E78" s="34">
        <v>11182500</v>
      </c>
      <c r="F78" s="34">
        <v>0</v>
      </c>
      <c r="G78" s="34">
        <v>118011900</v>
      </c>
      <c r="H78" s="34">
        <v>33223700</v>
      </c>
      <c r="I78" s="34">
        <v>0</v>
      </c>
      <c r="J78" s="34">
        <v>0</v>
      </c>
      <c r="K78" s="35">
        <f t="shared" ref="K78:K84" si="8">SUM(E78:J78)</f>
        <v>162418100</v>
      </c>
      <c r="L78" s="36"/>
      <c r="M78" s="36"/>
    </row>
    <row r="79" spans="1:13" ht="18" customHeight="1" x14ac:dyDescent="0.25">
      <c r="A79" s="59" t="s">
        <v>69</v>
      </c>
      <c r="B79" s="59"/>
      <c r="C79" s="59"/>
      <c r="D79" s="59"/>
      <c r="E79" s="37">
        <v>2</v>
      </c>
      <c r="F79" s="37">
        <v>0</v>
      </c>
      <c r="G79" s="37">
        <v>4</v>
      </c>
      <c r="H79" s="37">
        <v>2</v>
      </c>
      <c r="I79" s="37">
        <v>0</v>
      </c>
      <c r="J79" s="37">
        <v>0</v>
      </c>
      <c r="K79" s="38">
        <f t="shared" si="8"/>
        <v>8</v>
      </c>
      <c r="L79" s="36"/>
      <c r="M79" s="36"/>
    </row>
    <row r="80" spans="1:13" ht="18" customHeight="1" x14ac:dyDescent="0.25">
      <c r="A80" s="62" t="s">
        <v>70</v>
      </c>
      <c r="B80" s="62"/>
      <c r="C80" s="62"/>
      <c r="D80" s="62"/>
      <c r="E80" s="39">
        <f>SUMIFS(E52:E73,B52:B73,"BCA*")</f>
        <v>2437500</v>
      </c>
      <c r="F80" s="39">
        <f>SUMIFS(F52:F73,B52:B73,"BCA*")</f>
        <v>0</v>
      </c>
      <c r="G80" s="39">
        <f>SUMIFS(G52:G73,B52:B73,"BCA*")</f>
        <v>39930000</v>
      </c>
      <c r="H80" s="39">
        <f>SUMIFS(H52:H73,B52:B73,"BCA*")</f>
        <v>26015000</v>
      </c>
      <c r="I80" s="39">
        <f>SUMIFS(I52:I73,B52:B73,"BCA*")</f>
        <v>0</v>
      </c>
      <c r="J80" s="39">
        <f>SUMIFS(J52:J73,B52:B73,"BCA*")</f>
        <v>0</v>
      </c>
      <c r="K80" s="32">
        <f t="shared" si="8"/>
        <v>68382500</v>
      </c>
      <c r="L80" s="33"/>
      <c r="M80" s="33"/>
    </row>
    <row r="81" spans="1:13" ht="18" customHeight="1" x14ac:dyDescent="0.25">
      <c r="A81" s="62" t="s">
        <v>71</v>
      </c>
      <c r="B81" s="62"/>
      <c r="C81" s="62"/>
      <c r="D81" s="62"/>
      <c r="E81" s="39">
        <f>SUMIFS(E52:E73,B52:B73,"BNI*")</f>
        <v>1260000</v>
      </c>
      <c r="F81" s="39">
        <f>SUMIFS(F52:F73,B52:B73,"BNI*")</f>
        <v>0</v>
      </c>
      <c r="G81" s="39">
        <f>SUMIFS(G52:G73,B52:B73,"BNI*")</f>
        <v>32494500</v>
      </c>
      <c r="H81" s="39">
        <f>SUMIFS(H52:H73,B52:B73,"BNI*")</f>
        <v>3935700</v>
      </c>
      <c r="I81" s="39">
        <f>SUMIFS(I52:I73,B52:B73,"BNI*")</f>
        <v>0</v>
      </c>
      <c r="J81" s="39">
        <f>SUMIFS(J52:J73,B52:B73,"BNI*")</f>
        <v>0</v>
      </c>
      <c r="K81" s="32">
        <f t="shared" si="8"/>
        <v>37690200</v>
      </c>
      <c r="L81" s="33"/>
      <c r="M81" s="33"/>
    </row>
    <row r="82" spans="1:13" ht="18" customHeight="1" x14ac:dyDescent="0.25">
      <c r="A82" s="62" t="s">
        <v>72</v>
      </c>
      <c r="B82" s="62"/>
      <c r="C82" s="62"/>
      <c r="D82" s="62"/>
      <c r="E82" s="39">
        <f>SUMIFS(E52:E73,B52:B73,"BRI*")</f>
        <v>6985000</v>
      </c>
      <c r="F82" s="39">
        <f>SUMIFS(F52:F73,B52:B73,"BRI*")</f>
        <v>0</v>
      </c>
      <c r="G82" s="39">
        <f>SUMIFS(G52:G73,B52:B73,"BRI*")</f>
        <v>2462500</v>
      </c>
      <c r="H82" s="39">
        <f>SUMIFS(H52:H73,B52:B73,"BRI*")</f>
        <v>299000</v>
      </c>
      <c r="I82" s="39">
        <f>SUMIFS(I52:I73,B52:B73,"BRI*")</f>
        <v>0</v>
      </c>
      <c r="J82" s="39">
        <f>SUMIFS(J52:J73,B52:B73,"BRI*")</f>
        <v>0</v>
      </c>
      <c r="K82" s="32">
        <f t="shared" si="8"/>
        <v>9746500</v>
      </c>
      <c r="L82" s="33"/>
      <c r="M82" s="33"/>
    </row>
    <row r="83" spans="1:13" ht="18" customHeight="1" x14ac:dyDescent="0.25">
      <c r="A83" s="62" t="s">
        <v>73</v>
      </c>
      <c r="B83" s="62"/>
      <c r="C83" s="62"/>
      <c r="D83" s="62"/>
      <c r="E83" s="39">
        <f>SUMIFS(E52:E73,B52:B73,"MANDIRI*")</f>
        <v>0</v>
      </c>
      <c r="F83" s="39">
        <f>SUMIFS(F52:F73,B52:B73,"MANDIRI*")</f>
        <v>0</v>
      </c>
      <c r="G83" s="39">
        <f>SUMIFS(G52:G73,B52:B73,"MANDIRI*")</f>
        <v>0</v>
      </c>
      <c r="H83" s="39">
        <f>SUMIFS(H52:H73,B52:B73,"MANDIRI*")</f>
        <v>0</v>
      </c>
      <c r="I83" s="39">
        <f>SUMIFS(I52:I73,B52:B73,"MANDIRI*")</f>
        <v>0</v>
      </c>
      <c r="J83" s="39">
        <f>SUMIFS(J52:J73,B52:B73,"MANDIRI*")</f>
        <v>0</v>
      </c>
      <c r="K83" s="32">
        <f t="shared" si="8"/>
        <v>0</v>
      </c>
      <c r="L83" s="33"/>
      <c r="M83" s="33"/>
    </row>
    <row r="84" spans="1:13" ht="18" customHeight="1" x14ac:dyDescent="0.25">
      <c r="A84" s="62" t="s">
        <v>74</v>
      </c>
      <c r="B84" s="62"/>
      <c r="C84" s="62"/>
      <c r="D84" s="62"/>
      <c r="E84" s="39">
        <f>SUMIFS(E52:E73,B52:B73,"VOUCHER*")</f>
        <v>0</v>
      </c>
      <c r="F84" s="39">
        <f>SUMIFS(F52:F73,B52:B73,"VOUCHER*")</f>
        <v>0</v>
      </c>
      <c r="G84" s="39">
        <f>SUMIFS(G52:G73,B52:B73,"VOUCHER*")</f>
        <v>324000</v>
      </c>
      <c r="H84" s="39">
        <f>SUMIFS(H52:H73,B52:B73,"VOUCHER*")</f>
        <v>0</v>
      </c>
      <c r="I84" s="39">
        <f>SUMIFS(I52:I73,B52:B73,"VOUCHER*")</f>
        <v>0</v>
      </c>
      <c r="J84" s="39">
        <f>SUMIFS(J52:J73,B52:B73,"VOUCHER*")</f>
        <v>0</v>
      </c>
      <c r="K84" s="32">
        <f t="shared" si="8"/>
        <v>324000</v>
      </c>
      <c r="L84" s="33"/>
      <c r="M84" s="33"/>
    </row>
    <row r="85" spans="1:13" ht="18" customHeight="1" x14ac:dyDescent="0.25">
      <c r="A85" s="63" t="s">
        <v>75</v>
      </c>
      <c r="B85" s="63"/>
      <c r="C85" s="63"/>
      <c r="D85" s="63"/>
      <c r="E85" s="32">
        <f t="shared" ref="E85:K85" si="9">E73</f>
        <v>500000</v>
      </c>
      <c r="F85" s="32">
        <f t="shared" si="9"/>
        <v>0</v>
      </c>
      <c r="G85" s="32">
        <f t="shared" si="9"/>
        <v>43124900</v>
      </c>
      <c r="H85" s="32">
        <f t="shared" si="9"/>
        <v>2650000</v>
      </c>
      <c r="I85" s="32">
        <f t="shared" si="9"/>
        <v>0</v>
      </c>
      <c r="J85" s="32">
        <f t="shared" si="9"/>
        <v>0</v>
      </c>
      <c r="K85" s="32">
        <f t="shared" si="9"/>
        <v>46274900</v>
      </c>
      <c r="L85" s="33"/>
      <c r="M85" s="33"/>
    </row>
    <row r="86" spans="1:13" ht="19.5" customHeight="1" x14ac:dyDescent="0.25">
      <c r="A86" s="63" t="s">
        <v>76</v>
      </c>
      <c r="B86" s="63"/>
      <c r="C86" s="63"/>
      <c r="D86" s="63"/>
      <c r="E86" s="32">
        <f t="shared" ref="E86:K86" si="10">E80+E81+E82+E83+E84+E85</f>
        <v>11182500</v>
      </c>
      <c r="F86" s="32">
        <f t="shared" si="10"/>
        <v>0</v>
      </c>
      <c r="G86" s="32">
        <f t="shared" si="10"/>
        <v>118335900</v>
      </c>
      <c r="H86" s="32">
        <f t="shared" si="10"/>
        <v>32899700</v>
      </c>
      <c r="I86" s="32">
        <f t="shared" si="10"/>
        <v>0</v>
      </c>
      <c r="J86" s="32">
        <f t="shared" si="10"/>
        <v>0</v>
      </c>
      <c r="K86" s="32">
        <f t="shared" si="10"/>
        <v>162418100</v>
      </c>
      <c r="L86" s="33"/>
      <c r="M86" s="33"/>
    </row>
    <row r="87" spans="1:13" ht="19.5" customHeight="1" x14ac:dyDescent="0.25">
      <c r="A87" s="58" t="s">
        <v>77</v>
      </c>
      <c r="B87" s="58"/>
      <c r="C87" s="58"/>
      <c r="D87" s="58"/>
      <c r="E87" s="40">
        <f t="shared" ref="E87:K87" si="11">E78-E86</f>
        <v>0</v>
      </c>
      <c r="F87" s="40">
        <f t="shared" si="11"/>
        <v>0</v>
      </c>
      <c r="G87" s="40">
        <f t="shared" si="11"/>
        <v>-324000</v>
      </c>
      <c r="H87" s="40">
        <f t="shared" si="11"/>
        <v>324000</v>
      </c>
      <c r="I87" s="40">
        <f t="shared" si="11"/>
        <v>0</v>
      </c>
      <c r="J87" s="40">
        <f t="shared" si="11"/>
        <v>0</v>
      </c>
      <c r="K87" s="40">
        <f t="shared" si="11"/>
        <v>0</v>
      </c>
      <c r="L87" s="41"/>
      <c r="M87" s="41"/>
    </row>
    <row r="88" spans="1:13" ht="18" customHeight="1" x14ac:dyDescent="0.25">
      <c r="A88" s="59" t="s">
        <v>78</v>
      </c>
      <c r="B88" s="59"/>
      <c r="C88" s="59"/>
      <c r="D88" s="59"/>
      <c r="E88" s="37">
        <v>6</v>
      </c>
      <c r="F88" s="37">
        <v>0</v>
      </c>
      <c r="G88" s="37">
        <v>66</v>
      </c>
      <c r="H88" s="37">
        <v>8</v>
      </c>
      <c r="I88" s="37">
        <v>0</v>
      </c>
      <c r="J88" s="37">
        <v>0</v>
      </c>
      <c r="K88" s="38">
        <f>SUM(E88:J88)</f>
        <v>80</v>
      </c>
      <c r="L88" s="36"/>
      <c r="M88" s="36"/>
    </row>
    <row r="89" spans="1:13" ht="4.5" customHeight="1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</row>
    <row r="90" spans="1:13" ht="25.5" customHeight="1" x14ac:dyDescent="0.25">
      <c r="A90" s="61" t="s">
        <v>88</v>
      </c>
      <c r="B90" s="61"/>
      <c r="C90" s="61"/>
      <c r="D90" s="61"/>
      <c r="E90" s="42">
        <f>E36+E77</f>
        <v>11360200</v>
      </c>
      <c r="F90" s="42">
        <f>F36+F77</f>
        <v>0</v>
      </c>
      <c r="G90" s="42">
        <f>G36+G77</f>
        <v>118335900</v>
      </c>
      <c r="H90" s="42">
        <f>H36+H77</f>
        <v>78225808</v>
      </c>
      <c r="I90" s="42">
        <f>I36+I77</f>
        <v>0</v>
      </c>
      <c r="J90" s="42">
        <f>J36+J77</f>
        <v>0</v>
      </c>
      <c r="K90" s="42">
        <f>K36+K77</f>
        <v>207921908</v>
      </c>
      <c r="L90" s="43"/>
      <c r="M90" s="43"/>
    </row>
    <row r="91" spans="1:13" ht="4.5" customHeight="1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</row>
    <row r="92" spans="1:13" ht="18" customHeight="1" x14ac:dyDescent="0.25">
      <c r="A92" s="56" t="s">
        <v>89</v>
      </c>
      <c r="B92" s="56"/>
      <c r="C92" s="56"/>
      <c r="D92" s="56"/>
      <c r="E92" s="56"/>
      <c r="F92" s="56"/>
      <c r="H92" s="56" t="s">
        <v>90</v>
      </c>
      <c r="I92" s="56"/>
      <c r="J92" s="56"/>
      <c r="K92" s="56"/>
      <c r="L92" s="56"/>
      <c r="M92" s="56"/>
    </row>
    <row r="93" spans="1:13" ht="18" customHeight="1" x14ac:dyDescent="0.25">
      <c r="A93" s="57" t="s">
        <v>91</v>
      </c>
      <c r="B93" s="57"/>
      <c r="C93" s="57"/>
      <c r="D93" s="57"/>
      <c r="E93" s="57"/>
      <c r="F93" s="57"/>
      <c r="H93" s="57" t="s">
        <v>91</v>
      </c>
      <c r="I93" s="57"/>
      <c r="J93" s="57"/>
      <c r="K93" s="57"/>
      <c r="L93" s="57"/>
      <c r="M93" s="57"/>
    </row>
    <row r="94" spans="1:13" ht="39.75" customHeight="1" x14ac:dyDescent="0.25">
      <c r="A94" s="57" t="s">
        <v>92</v>
      </c>
      <c r="B94" s="57"/>
      <c r="C94" s="57"/>
      <c r="D94" s="57"/>
      <c r="E94" s="57"/>
      <c r="F94" s="57"/>
      <c r="H94" s="57" t="s">
        <v>92</v>
      </c>
      <c r="I94" s="57"/>
      <c r="J94" s="57"/>
      <c r="K94" s="57"/>
      <c r="L94" s="57"/>
      <c r="M94" s="57"/>
    </row>
  </sheetData>
  <dataConsolidate/>
  <mergeCells count="46">
    <mergeCell ref="A93:F93"/>
    <mergeCell ref="H93:M93"/>
    <mergeCell ref="A94:F94"/>
    <mergeCell ref="H94:M94"/>
    <mergeCell ref="A88:D88"/>
    <mergeCell ref="A89:M89"/>
    <mergeCell ref="A90:D90"/>
    <mergeCell ref="A91:M91"/>
    <mergeCell ref="A92:F92"/>
    <mergeCell ref="H92:M92"/>
    <mergeCell ref="A82:D82"/>
    <mergeCell ref="A83:D83"/>
    <mergeCell ref="A84:D84"/>
    <mergeCell ref="A85:D85"/>
    <mergeCell ref="A86:D86"/>
    <mergeCell ref="A87:D87"/>
    <mergeCell ref="A76:M76"/>
    <mergeCell ref="A77:D77"/>
    <mergeCell ref="A78:D78"/>
    <mergeCell ref="A79:D79"/>
    <mergeCell ref="A80:D80"/>
    <mergeCell ref="A81:D81"/>
    <mergeCell ref="A48:M48"/>
    <mergeCell ref="A49:M49"/>
    <mergeCell ref="A51:D51"/>
    <mergeCell ref="L51:M51"/>
    <mergeCell ref="A74:D74"/>
    <mergeCell ref="A75:M75"/>
    <mergeCell ref="A42:D42"/>
    <mergeCell ref="A43:D43"/>
    <mergeCell ref="A44:D44"/>
    <mergeCell ref="A45:D45"/>
    <mergeCell ref="A46:D46"/>
    <mergeCell ref="A47:D47"/>
    <mergeCell ref="A36:D36"/>
    <mergeCell ref="A37:D37"/>
    <mergeCell ref="A38:D38"/>
    <mergeCell ref="A39:D39"/>
    <mergeCell ref="A40:D40"/>
    <mergeCell ref="A41:D41"/>
    <mergeCell ref="A1:M1"/>
    <mergeCell ref="A3:D3"/>
    <mergeCell ref="L3:M3"/>
    <mergeCell ref="A33:D33"/>
    <mergeCell ref="A34:M34"/>
    <mergeCell ref="A35:M35"/>
  </mergeCells>
  <dataValidations count="7">
    <dataValidation type="list" allowBlank="1" showErrorMessage="1" errorTitle="Entitas Tidak Valid" error="Pilih dari daftar." sqref="D1:D57 D61:D63 D67:D69 D71:D512" xr:uid="{634B1D65-DF6B-4558-BF85-17EA0CA870C8}">
      <formula1>"PT CAHAYA MENTARI BERSINAR,CV BERKAT JAYA BAHAGIA,CV TUNAS MUDA KREASI,CV KARYA BERSAMA ANUGERAH,-"</formula1>
      <formula2>0</formula2>
    </dataValidation>
    <dataValidation type="list" allowBlank="1" showErrorMessage="1" errorTitle="Jenis Tidak Valid" error="Hanya: QR, DEBIT, KK" sqref="C1:C24 C32:C67 C72:C512" xr:uid="{62501B95-6667-4B8A-8BE0-A5EFFD3F5F4E}">
      <formula1>"QR,DEBIT,KK,-"</formula1>
      <formula2>0</formula2>
    </dataValidation>
    <dataValidation type="list" allowBlank="1" showErrorMessage="1" errorTitle="Entitas Tidak Valid" error="Pilih dari daftar." sqref="D58:D60" xr:uid="{83EDFCA3-D6BA-4776-8E50-82BFF2ADBFEA}">
      <formula1>"PT CAHAYA MENTARI BERSINAR,CV BERKAT GEMILANG BERSATU, CV BERKAT JAYA BAHAGIA,CV TUNAS MUDA KREASI,CV KARYA BERSAMA ANUGERAH,-"</formula1>
    </dataValidation>
    <dataValidation type="list" allowBlank="1" showErrorMessage="1" errorTitle="Entitas Tidak Valid" error="Pilih dari daftar." sqref="D64:D66" xr:uid="{B300548B-8A4E-4EC8-911F-2891F7E420B9}">
      <formula1>"PT CAHAYA MENTARI BERSINAR, CV KARYA BERSAMA ANUGERAH, CV BERKAT JAYA BAHAGIA,CV TUNAS MUDA KREASI,CV KARYA BERSAMA ANUGERAH,-"</formula1>
    </dataValidation>
    <dataValidation type="list" allowBlank="1" showErrorMessage="1" errorTitle="Entitas Tidak Valid" error="Pilih dari daftar." sqref="D70" xr:uid="{6DD4C055-415F-41FE-A421-23272D22018B}">
      <formula1>"PT CAHAYA MENTARI BERSINAR,CV BERSATU INDAH SEJAHTERA, CV BERKAT JAYA BAHAGIA,CV TUNAS MUDA KREASI,CV KARYA BERSAMA ANUGERAH,-"</formula1>
    </dataValidation>
    <dataValidation type="list" allowBlank="1" showErrorMessage="1" errorTitle="Jenis Tidak Valid" error="Hanya: QR, DEBIT, KK" sqref="C68:C70" xr:uid="{76A67C8A-F3DF-4292-9112-9E29C13118D8}">
      <formula1>"QR,DEBIT,KK,TRANSFER,VOUCHER"</formula1>
    </dataValidation>
    <dataValidation type="list" allowBlank="1" showErrorMessage="1" errorTitle="Jenis Tidak Valid" error="Hanya: QR, DEBIT, KK" sqref="C71 C25:C31" xr:uid="{7983B625-DF15-45BF-913E-D8AA21FE83A1}">
      <formula1>"QR,DEBIT,KK,VOUCHER"</formula1>
    </dataValidation>
  </dataValidations>
  <pageMargins left="0.75" right="0.75" top="1" bottom="1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82"/>
  <sheetViews>
    <sheetView showGridLines="0" zoomScaleNormal="10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L58" sqref="L58"/>
    </sheetView>
  </sheetViews>
  <sheetFormatPr defaultColWidth="8.7109375" defaultRowHeight="15" x14ac:dyDescent="0.25"/>
  <cols>
    <col min="1" max="1" width="10" style="1" customWidth="1"/>
    <col min="2" max="2" width="22" style="1" customWidth="1"/>
    <col min="3" max="3" width="8" style="1" customWidth="1"/>
    <col min="4" max="4" width="28" style="1" customWidth="1"/>
    <col min="5" max="10" width="13" style="1" customWidth="1"/>
    <col min="11" max="11" width="16" style="1" customWidth="1"/>
    <col min="12" max="12" width="66.28515625" style="1" customWidth="1"/>
    <col min="13" max="13" width="38" style="1" customWidth="1"/>
  </cols>
  <sheetData>
    <row r="1" spans="1:13" ht="21.75" customHeight="1" x14ac:dyDescent="0.25">
      <c r="A1" s="67" t="s">
        <v>112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</row>
    <row r="2" spans="1:13" ht="21.75" customHeight="1" x14ac:dyDescent="0.25">
      <c r="A2" s="4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G2" s="4" t="s">
        <v>28</v>
      </c>
      <c r="H2" s="4" t="s">
        <v>29</v>
      </c>
      <c r="I2" s="4" t="s">
        <v>30</v>
      </c>
      <c r="J2" s="4" t="s">
        <v>31</v>
      </c>
      <c r="K2" s="5" t="s">
        <v>32</v>
      </c>
      <c r="L2" s="4" t="s">
        <v>33</v>
      </c>
      <c r="M2" s="4" t="s">
        <v>34</v>
      </c>
    </row>
    <row r="3" spans="1:13" ht="18" customHeight="1" x14ac:dyDescent="0.25">
      <c r="A3" s="64" t="s">
        <v>35</v>
      </c>
      <c r="B3" s="64"/>
      <c r="C3" s="64"/>
      <c r="D3" s="64"/>
      <c r="E3" s="6" t="s">
        <v>36</v>
      </c>
      <c r="F3" s="6" t="s">
        <v>37</v>
      </c>
      <c r="G3" s="6" t="s">
        <v>38</v>
      </c>
      <c r="H3" s="6" t="s">
        <v>39</v>
      </c>
      <c r="I3" s="6" t="s">
        <v>40</v>
      </c>
      <c r="J3" s="6" t="s">
        <v>41</v>
      </c>
      <c r="K3" s="7"/>
      <c r="L3" s="65" t="s">
        <v>42</v>
      </c>
      <c r="M3" s="65"/>
    </row>
    <row r="4" spans="1:13" ht="18" customHeight="1" x14ac:dyDescent="0.25">
      <c r="A4" s="8" t="s">
        <v>43</v>
      </c>
      <c r="B4" s="9" t="s">
        <v>44</v>
      </c>
      <c r="C4" s="8" t="s">
        <v>45</v>
      </c>
      <c r="D4" s="10" t="s">
        <v>46</v>
      </c>
      <c r="E4" s="11"/>
      <c r="F4" s="11"/>
      <c r="G4" s="11"/>
      <c r="H4" s="11"/>
      <c r="I4" s="11"/>
      <c r="J4" s="11"/>
      <c r="K4" s="12">
        <f t="shared" ref="K4:K35" si="0">SUM(E4:J4)</f>
        <v>0</v>
      </c>
      <c r="L4" s="13"/>
      <c r="M4" s="14"/>
    </row>
    <row r="5" spans="1:13" ht="18" customHeight="1" x14ac:dyDescent="0.25">
      <c r="A5" s="15" t="s">
        <v>43</v>
      </c>
      <c r="B5" s="16" t="s">
        <v>44</v>
      </c>
      <c r="C5" s="15" t="s">
        <v>47</v>
      </c>
      <c r="D5" s="17" t="s">
        <v>46</v>
      </c>
      <c r="E5" s="18"/>
      <c r="F5" s="18"/>
      <c r="G5" s="18"/>
      <c r="H5" s="18"/>
      <c r="I5" s="18"/>
      <c r="J5" s="18"/>
      <c r="K5" s="12">
        <f t="shared" si="0"/>
        <v>0</v>
      </c>
      <c r="L5" s="19"/>
      <c r="M5" s="20"/>
    </row>
    <row r="6" spans="1:13" ht="18" customHeight="1" x14ac:dyDescent="0.25">
      <c r="A6" s="8" t="s">
        <v>43</v>
      </c>
      <c r="B6" s="9" t="s">
        <v>44</v>
      </c>
      <c r="C6" s="8" t="s">
        <v>48</v>
      </c>
      <c r="D6" s="10" t="s">
        <v>46</v>
      </c>
      <c r="E6" s="11"/>
      <c r="F6" s="11"/>
      <c r="G6" s="11"/>
      <c r="H6" s="21"/>
      <c r="I6" s="11"/>
      <c r="J6" s="11"/>
      <c r="K6" s="12">
        <f t="shared" si="0"/>
        <v>0</v>
      </c>
      <c r="L6" s="13"/>
      <c r="M6" s="14"/>
    </row>
    <row r="7" spans="1:13" ht="18" customHeight="1" x14ac:dyDescent="0.25">
      <c r="A7" s="15" t="s">
        <v>43</v>
      </c>
      <c r="B7" s="16" t="s">
        <v>49</v>
      </c>
      <c r="C7" s="15" t="s">
        <v>45</v>
      </c>
      <c r="D7" s="17" t="s">
        <v>46</v>
      </c>
      <c r="E7" s="18"/>
      <c r="F7" s="18"/>
      <c r="G7" s="18"/>
      <c r="H7" s="18"/>
      <c r="I7" s="18"/>
      <c r="J7" s="18"/>
      <c r="K7" s="12">
        <f t="shared" si="0"/>
        <v>0</v>
      </c>
      <c r="L7" s="19"/>
      <c r="M7" s="20"/>
    </row>
    <row r="8" spans="1:13" ht="18" customHeight="1" x14ac:dyDescent="0.25">
      <c r="A8" s="8" t="s">
        <v>43</v>
      </c>
      <c r="B8" s="9" t="s">
        <v>49</v>
      </c>
      <c r="C8" s="8" t="s">
        <v>47</v>
      </c>
      <c r="D8" s="10" t="s">
        <v>46</v>
      </c>
      <c r="E8" s="11"/>
      <c r="F8" s="11"/>
      <c r="G8" s="11"/>
      <c r="H8" s="11"/>
      <c r="I8" s="11"/>
      <c r="J8" s="11"/>
      <c r="K8" s="12">
        <f t="shared" si="0"/>
        <v>0</v>
      </c>
      <c r="L8" s="13"/>
      <c r="M8" s="14"/>
    </row>
    <row r="9" spans="1:13" ht="18" customHeight="1" x14ac:dyDescent="0.25">
      <c r="A9" s="15" t="s">
        <v>43</v>
      </c>
      <c r="B9" s="16" t="s">
        <v>49</v>
      </c>
      <c r="C9" s="15" t="s">
        <v>48</v>
      </c>
      <c r="D9" s="17" t="s">
        <v>46</v>
      </c>
      <c r="E9" s="22"/>
      <c r="F9" s="18"/>
      <c r="G9" s="18"/>
      <c r="H9" s="18"/>
      <c r="I9" s="18"/>
      <c r="J9" s="18"/>
      <c r="K9" s="12">
        <f t="shared" si="0"/>
        <v>0</v>
      </c>
      <c r="L9" s="19"/>
      <c r="M9" s="20"/>
    </row>
    <row r="10" spans="1:13" ht="18" customHeight="1" x14ac:dyDescent="0.25">
      <c r="A10" s="8" t="s">
        <v>50</v>
      </c>
      <c r="B10" s="9" t="s">
        <v>51</v>
      </c>
      <c r="C10" s="8" t="s">
        <v>45</v>
      </c>
      <c r="D10" s="10" t="s">
        <v>46</v>
      </c>
      <c r="E10" s="11"/>
      <c r="F10" s="11"/>
      <c r="G10" s="11"/>
      <c r="H10" s="11"/>
      <c r="I10" s="11"/>
      <c r="J10" s="11"/>
      <c r="K10" s="12">
        <f t="shared" si="0"/>
        <v>0</v>
      </c>
      <c r="L10" s="13"/>
      <c r="M10" s="14"/>
    </row>
    <row r="11" spans="1:13" ht="18" customHeight="1" x14ac:dyDescent="0.25">
      <c r="A11" s="15" t="s">
        <v>50</v>
      </c>
      <c r="B11" s="16" t="s">
        <v>51</v>
      </c>
      <c r="C11" s="15" t="s">
        <v>47</v>
      </c>
      <c r="D11" s="17" t="s">
        <v>46</v>
      </c>
      <c r="E11" s="18"/>
      <c r="F11" s="18"/>
      <c r="G11" s="18"/>
      <c r="H11" s="18"/>
      <c r="I11" s="18"/>
      <c r="J11" s="18"/>
      <c r="K11" s="12">
        <f t="shared" si="0"/>
        <v>0</v>
      </c>
      <c r="L11" s="19"/>
      <c r="M11" s="20"/>
    </row>
    <row r="12" spans="1:13" ht="18" customHeight="1" x14ac:dyDescent="0.25">
      <c r="A12" s="8" t="s">
        <v>50</v>
      </c>
      <c r="B12" s="9" t="s">
        <v>51</v>
      </c>
      <c r="C12" s="8" t="s">
        <v>48</v>
      </c>
      <c r="D12" s="10" t="s">
        <v>46</v>
      </c>
      <c r="E12" s="11"/>
      <c r="F12" s="11"/>
      <c r="G12" s="11"/>
      <c r="H12" s="21"/>
      <c r="I12" s="11"/>
      <c r="J12" s="11"/>
      <c r="K12" s="12">
        <f t="shared" si="0"/>
        <v>0</v>
      </c>
      <c r="L12" s="13"/>
      <c r="M12" s="14"/>
    </row>
    <row r="13" spans="1:13" ht="18" customHeight="1" x14ac:dyDescent="0.25">
      <c r="A13" s="15" t="s">
        <v>52</v>
      </c>
      <c r="B13" s="16" t="s">
        <v>53</v>
      </c>
      <c r="C13" s="15" t="s">
        <v>45</v>
      </c>
      <c r="D13" s="17" t="s">
        <v>46</v>
      </c>
      <c r="E13" s="18"/>
      <c r="F13" s="18"/>
      <c r="G13" s="18"/>
      <c r="H13" s="18"/>
      <c r="I13" s="18"/>
      <c r="J13" s="18"/>
      <c r="K13" s="12">
        <f t="shared" si="0"/>
        <v>0</v>
      </c>
      <c r="L13" s="19"/>
      <c r="M13" s="20"/>
    </row>
    <row r="14" spans="1:13" ht="18" customHeight="1" x14ac:dyDescent="0.25">
      <c r="A14" s="8" t="s">
        <v>52</v>
      </c>
      <c r="B14" s="9" t="s">
        <v>53</v>
      </c>
      <c r="C14" s="8" t="s">
        <v>47</v>
      </c>
      <c r="D14" s="10" t="s">
        <v>46</v>
      </c>
      <c r="E14" s="11"/>
      <c r="F14" s="11"/>
      <c r="G14" s="11"/>
      <c r="H14" s="11"/>
      <c r="I14" s="11"/>
      <c r="J14" s="11"/>
      <c r="K14" s="12">
        <f t="shared" si="0"/>
        <v>0</v>
      </c>
      <c r="L14" s="13"/>
      <c r="M14" s="14"/>
    </row>
    <row r="15" spans="1:13" ht="18" customHeight="1" x14ac:dyDescent="0.25">
      <c r="A15" s="15" t="s">
        <v>52</v>
      </c>
      <c r="B15" s="16" t="s">
        <v>53</v>
      </c>
      <c r="C15" s="15" t="s">
        <v>48</v>
      </c>
      <c r="D15" s="17" t="s">
        <v>46</v>
      </c>
      <c r="E15" s="18"/>
      <c r="F15" s="18"/>
      <c r="G15" s="22"/>
      <c r="H15" s="18"/>
      <c r="I15" s="18"/>
      <c r="J15" s="18"/>
      <c r="K15" s="12">
        <f t="shared" si="0"/>
        <v>0</v>
      </c>
      <c r="L15" s="19"/>
      <c r="M15" s="20"/>
    </row>
    <row r="16" spans="1:13" ht="18" customHeight="1" x14ac:dyDescent="0.25">
      <c r="A16" s="8" t="s">
        <v>52</v>
      </c>
      <c r="B16" s="9" t="s">
        <v>54</v>
      </c>
      <c r="C16" s="8" t="s">
        <v>45</v>
      </c>
      <c r="D16" s="10" t="s">
        <v>46</v>
      </c>
      <c r="E16" s="11"/>
      <c r="F16" s="11"/>
      <c r="G16" s="11"/>
      <c r="H16" s="21"/>
      <c r="I16" s="11"/>
      <c r="J16" s="11"/>
      <c r="K16" s="12">
        <f t="shared" si="0"/>
        <v>0</v>
      </c>
      <c r="L16" s="13"/>
      <c r="M16" s="14"/>
    </row>
    <row r="17" spans="1:13" ht="18" customHeight="1" x14ac:dyDescent="0.25">
      <c r="A17" s="15" t="s">
        <v>52</v>
      </c>
      <c r="B17" s="16" t="s">
        <v>54</v>
      </c>
      <c r="C17" s="15" t="s">
        <v>47</v>
      </c>
      <c r="D17" s="17" t="s">
        <v>46</v>
      </c>
      <c r="E17" s="18"/>
      <c r="F17" s="18"/>
      <c r="G17" s="18"/>
      <c r="H17" s="22"/>
      <c r="I17" s="18"/>
      <c r="J17" s="18"/>
      <c r="K17" s="12">
        <f t="shared" si="0"/>
        <v>0</v>
      </c>
      <c r="L17" s="19"/>
      <c r="M17" s="20"/>
    </row>
    <row r="18" spans="1:13" ht="18" customHeight="1" x14ac:dyDescent="0.25">
      <c r="A18" s="8" t="s">
        <v>52</v>
      </c>
      <c r="B18" s="9" t="s">
        <v>54</v>
      </c>
      <c r="C18" s="8" t="s">
        <v>48</v>
      </c>
      <c r="D18" s="10" t="s">
        <v>46</v>
      </c>
      <c r="E18" s="11"/>
      <c r="F18" s="11"/>
      <c r="G18" s="11"/>
      <c r="H18" s="21"/>
      <c r="I18" s="11"/>
      <c r="J18" s="11"/>
      <c r="K18" s="12">
        <f t="shared" si="0"/>
        <v>0</v>
      </c>
      <c r="L18" s="13"/>
      <c r="M18" s="14"/>
    </row>
    <row r="19" spans="1:13" ht="18" customHeight="1" x14ac:dyDescent="0.25">
      <c r="A19" s="15" t="s">
        <v>52</v>
      </c>
      <c r="B19" s="16" t="s">
        <v>55</v>
      </c>
      <c r="C19" s="15" t="s">
        <v>45</v>
      </c>
      <c r="D19" s="17" t="s">
        <v>46</v>
      </c>
      <c r="E19" s="18"/>
      <c r="F19" s="18"/>
      <c r="G19" s="18"/>
      <c r="H19" s="18"/>
      <c r="I19" s="18"/>
      <c r="J19" s="18"/>
      <c r="K19" s="12">
        <f t="shared" si="0"/>
        <v>0</v>
      </c>
      <c r="L19" s="19"/>
      <c r="M19" s="20"/>
    </row>
    <row r="20" spans="1:13" ht="18" customHeight="1" x14ac:dyDescent="0.25">
      <c r="A20" s="8" t="s">
        <v>52</v>
      </c>
      <c r="B20" s="9" t="s">
        <v>55</v>
      </c>
      <c r="C20" s="8" t="s">
        <v>47</v>
      </c>
      <c r="D20" s="10" t="s">
        <v>46</v>
      </c>
      <c r="E20" s="11"/>
      <c r="F20" s="11"/>
      <c r="G20" s="11"/>
      <c r="H20" s="11"/>
      <c r="I20" s="11"/>
      <c r="J20" s="11"/>
      <c r="K20" s="12">
        <f t="shared" si="0"/>
        <v>0</v>
      </c>
      <c r="L20" s="13"/>
      <c r="M20" s="14"/>
    </row>
    <row r="21" spans="1:13" ht="18" customHeight="1" x14ac:dyDescent="0.25">
      <c r="A21" s="15" t="s">
        <v>52</v>
      </c>
      <c r="B21" s="16" t="s">
        <v>55</v>
      </c>
      <c r="C21" s="15" t="s">
        <v>48</v>
      </c>
      <c r="D21" s="17" t="s">
        <v>46</v>
      </c>
      <c r="E21" s="18"/>
      <c r="F21" s="18"/>
      <c r="G21" s="18"/>
      <c r="H21" s="22"/>
      <c r="I21" s="18"/>
      <c r="J21" s="18"/>
      <c r="K21" s="12">
        <f t="shared" si="0"/>
        <v>0</v>
      </c>
      <c r="L21" s="19"/>
      <c r="M21" s="20"/>
    </row>
    <row r="22" spans="1:13" ht="18" customHeight="1" x14ac:dyDescent="0.25">
      <c r="A22" s="8" t="s">
        <v>56</v>
      </c>
      <c r="B22" s="9" t="s">
        <v>57</v>
      </c>
      <c r="C22" s="8" t="s">
        <v>45</v>
      </c>
      <c r="D22" s="10" t="s">
        <v>46</v>
      </c>
      <c r="E22" s="11"/>
      <c r="F22" s="11"/>
      <c r="G22" s="21"/>
      <c r="H22" s="11"/>
      <c r="I22" s="11"/>
      <c r="J22" s="11"/>
      <c r="K22" s="12">
        <f t="shared" si="0"/>
        <v>0</v>
      </c>
      <c r="L22" s="13"/>
      <c r="M22" s="14"/>
    </row>
    <row r="23" spans="1:13" ht="18" customHeight="1" x14ac:dyDescent="0.25">
      <c r="A23" s="15" t="s">
        <v>56</v>
      </c>
      <c r="B23" s="16" t="s">
        <v>57</v>
      </c>
      <c r="C23" s="15" t="s">
        <v>47</v>
      </c>
      <c r="D23" s="17" t="s">
        <v>46</v>
      </c>
      <c r="E23" s="18"/>
      <c r="F23" s="18"/>
      <c r="G23" s="22"/>
      <c r="H23" s="18"/>
      <c r="I23" s="18"/>
      <c r="J23" s="18"/>
      <c r="K23" s="12">
        <f t="shared" si="0"/>
        <v>0</v>
      </c>
      <c r="L23" s="19"/>
      <c r="M23" s="20"/>
    </row>
    <row r="24" spans="1:13" ht="18" customHeight="1" x14ac:dyDescent="0.25">
      <c r="A24" s="8" t="s">
        <v>56</v>
      </c>
      <c r="B24" s="9" t="s">
        <v>57</v>
      </c>
      <c r="C24" s="8" t="s">
        <v>48</v>
      </c>
      <c r="D24" s="10" t="s">
        <v>46</v>
      </c>
      <c r="E24" s="11"/>
      <c r="F24" s="11"/>
      <c r="G24" s="21"/>
      <c r="H24" s="11"/>
      <c r="I24" s="11"/>
      <c r="J24" s="11"/>
      <c r="K24" s="12">
        <f t="shared" si="0"/>
        <v>0</v>
      </c>
      <c r="L24" s="13"/>
      <c r="M24" s="14"/>
    </row>
    <row r="25" spans="1:13" ht="18" customHeight="1" x14ac:dyDescent="0.25">
      <c r="A25" s="15" t="s">
        <v>56</v>
      </c>
      <c r="B25" s="16" t="s">
        <v>58</v>
      </c>
      <c r="C25" s="15" t="s">
        <v>45</v>
      </c>
      <c r="D25" s="17" t="s">
        <v>46</v>
      </c>
      <c r="E25" s="18"/>
      <c r="F25" s="18"/>
      <c r="G25" s="18"/>
      <c r="H25" s="18"/>
      <c r="I25" s="18"/>
      <c r="J25" s="18"/>
      <c r="K25" s="12">
        <f t="shared" si="0"/>
        <v>0</v>
      </c>
      <c r="L25" s="19"/>
      <c r="M25" s="20"/>
    </row>
    <row r="26" spans="1:13" ht="18" customHeight="1" x14ac:dyDescent="0.25">
      <c r="A26" s="8" t="s">
        <v>56</v>
      </c>
      <c r="B26" s="9" t="s">
        <v>58</v>
      </c>
      <c r="C26" s="8" t="s">
        <v>47</v>
      </c>
      <c r="D26" s="10" t="s">
        <v>46</v>
      </c>
      <c r="E26" s="11"/>
      <c r="F26" s="11"/>
      <c r="G26" s="11"/>
      <c r="H26" s="11"/>
      <c r="I26" s="11"/>
      <c r="J26" s="11"/>
      <c r="K26" s="12">
        <f t="shared" si="0"/>
        <v>0</v>
      </c>
      <c r="L26" s="13"/>
      <c r="M26" s="14"/>
    </row>
    <row r="27" spans="1:13" ht="18" customHeight="1" x14ac:dyDescent="0.25">
      <c r="A27" s="15" t="s">
        <v>56</v>
      </c>
      <c r="B27" s="16" t="s">
        <v>58</v>
      </c>
      <c r="C27" s="15" t="s">
        <v>48</v>
      </c>
      <c r="D27" s="17" t="s">
        <v>46</v>
      </c>
      <c r="E27" s="18"/>
      <c r="F27" s="18"/>
      <c r="G27" s="18"/>
      <c r="H27" s="22"/>
      <c r="I27" s="18"/>
      <c r="J27" s="18"/>
      <c r="K27" s="12">
        <f t="shared" si="0"/>
        <v>0</v>
      </c>
      <c r="L27" s="19"/>
      <c r="M27" s="20"/>
    </row>
    <row r="28" spans="1:13" ht="18" customHeight="1" x14ac:dyDescent="0.25">
      <c r="A28" s="8" t="s">
        <v>59</v>
      </c>
      <c r="B28" s="9" t="s">
        <v>60</v>
      </c>
      <c r="C28" s="8" t="s">
        <v>45</v>
      </c>
      <c r="D28" s="10" t="s">
        <v>46</v>
      </c>
      <c r="E28" s="11"/>
      <c r="F28" s="11"/>
      <c r="G28" s="11"/>
      <c r="H28" s="11"/>
      <c r="I28" s="11"/>
      <c r="J28" s="11"/>
      <c r="K28" s="12">
        <f t="shared" si="0"/>
        <v>0</v>
      </c>
      <c r="L28" s="13"/>
      <c r="M28" s="14"/>
    </row>
    <row r="29" spans="1:13" ht="18" customHeight="1" x14ac:dyDescent="0.25">
      <c r="A29" s="15" t="s">
        <v>59</v>
      </c>
      <c r="B29" s="16" t="s">
        <v>60</v>
      </c>
      <c r="C29" s="15" t="s">
        <v>47</v>
      </c>
      <c r="D29" s="17" t="s">
        <v>46</v>
      </c>
      <c r="E29" s="18"/>
      <c r="F29" s="18"/>
      <c r="G29" s="18"/>
      <c r="H29" s="18"/>
      <c r="I29" s="18"/>
      <c r="J29" s="18"/>
      <c r="K29" s="12">
        <f t="shared" si="0"/>
        <v>0</v>
      </c>
      <c r="L29" s="19"/>
      <c r="M29" s="20"/>
    </row>
    <row r="30" spans="1:13" ht="18" customHeight="1" x14ac:dyDescent="0.25">
      <c r="A30" s="8" t="s">
        <v>59</v>
      </c>
      <c r="B30" s="9" t="s">
        <v>60</v>
      </c>
      <c r="C30" s="8" t="s">
        <v>48</v>
      </c>
      <c r="D30" s="10" t="s">
        <v>46</v>
      </c>
      <c r="E30" s="11"/>
      <c r="F30" s="11"/>
      <c r="G30" s="21"/>
      <c r="H30" s="11"/>
      <c r="I30" s="11"/>
      <c r="J30" s="11"/>
      <c r="K30" s="12">
        <f t="shared" si="0"/>
        <v>0</v>
      </c>
      <c r="L30" s="13"/>
      <c r="M30" s="14"/>
    </row>
    <row r="31" spans="1:13" ht="18" customHeight="1" x14ac:dyDescent="0.25">
      <c r="A31" s="15" t="s">
        <v>59</v>
      </c>
      <c r="B31" s="16" t="s">
        <v>61</v>
      </c>
      <c r="C31" s="15" t="s">
        <v>45</v>
      </c>
      <c r="D31" s="17" t="s">
        <v>46</v>
      </c>
      <c r="E31" s="18"/>
      <c r="F31" s="18"/>
      <c r="G31" s="18"/>
      <c r="H31" s="18"/>
      <c r="I31" s="18"/>
      <c r="J31" s="18"/>
      <c r="K31" s="12">
        <f t="shared" si="0"/>
        <v>0</v>
      </c>
      <c r="L31" s="19"/>
      <c r="M31" s="20"/>
    </row>
    <row r="32" spans="1:13" ht="18" customHeight="1" x14ac:dyDescent="0.25">
      <c r="A32" s="8" t="s">
        <v>59</v>
      </c>
      <c r="B32" s="9" t="s">
        <v>61</v>
      </c>
      <c r="C32" s="8" t="s">
        <v>47</v>
      </c>
      <c r="D32" s="10" t="s">
        <v>46</v>
      </c>
      <c r="E32" s="11"/>
      <c r="F32" s="11"/>
      <c r="G32" s="11"/>
      <c r="H32" s="11"/>
      <c r="I32" s="11"/>
      <c r="J32" s="11"/>
      <c r="K32" s="12">
        <f t="shared" si="0"/>
        <v>0</v>
      </c>
      <c r="L32" s="13"/>
      <c r="M32" s="14"/>
    </row>
    <row r="33" spans="1:13" ht="19.5" customHeight="1" x14ac:dyDescent="0.25">
      <c r="A33" s="15" t="s">
        <v>59</v>
      </c>
      <c r="B33" s="16" t="s">
        <v>61</v>
      </c>
      <c r="C33" s="15" t="s">
        <v>48</v>
      </c>
      <c r="D33" s="17" t="s">
        <v>46</v>
      </c>
      <c r="E33" s="22"/>
      <c r="F33" s="18"/>
      <c r="G33" s="18"/>
      <c r="H33" s="18"/>
      <c r="I33" s="18"/>
      <c r="J33" s="18"/>
      <c r="K33" s="12">
        <f>SUM(E33:J33)</f>
        <v>0</v>
      </c>
      <c r="L33" s="19"/>
      <c r="M33" s="20"/>
    </row>
    <row r="34" spans="1:13" ht="18" customHeight="1" x14ac:dyDescent="0.25">
      <c r="A34" s="8" t="s">
        <v>62</v>
      </c>
      <c r="B34" s="9" t="s">
        <v>62</v>
      </c>
      <c r="C34" s="8" t="s">
        <v>45</v>
      </c>
      <c r="D34" s="10" t="s">
        <v>46</v>
      </c>
      <c r="E34" s="11"/>
      <c r="F34" s="11"/>
      <c r="G34" s="11"/>
      <c r="H34" s="21"/>
      <c r="I34" s="11"/>
      <c r="J34" s="11"/>
      <c r="K34" s="12">
        <f t="shared" si="0"/>
        <v>0</v>
      </c>
      <c r="L34" s="13"/>
      <c r="M34" s="14"/>
    </row>
    <row r="35" spans="1:13" ht="18" customHeight="1" x14ac:dyDescent="0.25">
      <c r="A35" s="23" t="s">
        <v>63</v>
      </c>
      <c r="B35" s="24" t="s">
        <v>63</v>
      </c>
      <c r="C35" s="23" t="s">
        <v>64</v>
      </c>
      <c r="D35" s="25" t="s">
        <v>64</v>
      </c>
      <c r="E35" s="26"/>
      <c r="F35" s="27"/>
      <c r="G35" s="26"/>
      <c r="H35" s="26"/>
      <c r="I35" s="27"/>
      <c r="J35" s="27"/>
      <c r="K35" s="12">
        <f t="shared" si="0"/>
        <v>0</v>
      </c>
      <c r="L35" s="28"/>
      <c r="M35" s="29"/>
    </row>
    <row r="36" spans="1:13" ht="19.5" customHeight="1" x14ac:dyDescent="0.25">
      <c r="A36" s="66" t="s">
        <v>65</v>
      </c>
      <c r="B36" s="66"/>
      <c r="C36" s="66"/>
      <c r="D36" s="66"/>
      <c r="E36" s="30">
        <f t="shared" ref="E36:K36" si="1">SUM(E4:E35)</f>
        <v>0</v>
      </c>
      <c r="F36" s="30">
        <f t="shared" si="1"/>
        <v>0</v>
      </c>
      <c r="G36" s="30">
        <f t="shared" si="1"/>
        <v>0</v>
      </c>
      <c r="H36" s="30">
        <f t="shared" si="1"/>
        <v>0</v>
      </c>
      <c r="I36" s="30">
        <f t="shared" si="1"/>
        <v>0</v>
      </c>
      <c r="J36" s="30">
        <f t="shared" si="1"/>
        <v>0</v>
      </c>
      <c r="K36" s="30">
        <f t="shared" si="1"/>
        <v>0</v>
      </c>
      <c r="L36" s="31"/>
      <c r="M36" s="31"/>
    </row>
    <row r="37" spans="1:13" ht="4.5" customHeight="1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</row>
    <row r="38" spans="1:13" ht="18" customHeight="1" x14ac:dyDescent="0.25">
      <c r="A38" s="55" t="s">
        <v>66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</row>
    <row r="39" spans="1:13" ht="18" customHeight="1" x14ac:dyDescent="0.25">
      <c r="A39" s="63" t="s">
        <v>67</v>
      </c>
      <c r="B39" s="63"/>
      <c r="C39" s="63"/>
      <c r="D39" s="63"/>
      <c r="E39" s="32">
        <f t="shared" ref="E39:K39" si="2">E36</f>
        <v>0</v>
      </c>
      <c r="F39" s="32">
        <f t="shared" si="2"/>
        <v>0</v>
      </c>
      <c r="G39" s="32">
        <f t="shared" si="2"/>
        <v>0</v>
      </c>
      <c r="H39" s="32">
        <f t="shared" si="2"/>
        <v>0</v>
      </c>
      <c r="I39" s="32">
        <f t="shared" si="2"/>
        <v>0</v>
      </c>
      <c r="J39" s="32">
        <f t="shared" si="2"/>
        <v>0</v>
      </c>
      <c r="K39" s="32">
        <f t="shared" si="2"/>
        <v>0</v>
      </c>
      <c r="L39" s="33"/>
      <c r="M39" s="33"/>
    </row>
    <row r="40" spans="1:13" ht="18" customHeight="1" x14ac:dyDescent="0.25">
      <c r="A40" s="59" t="s">
        <v>68</v>
      </c>
      <c r="B40" s="59"/>
      <c r="C40" s="59"/>
      <c r="D40" s="59"/>
      <c r="E40" s="34">
        <v>0</v>
      </c>
      <c r="F40" s="34">
        <v>0</v>
      </c>
      <c r="G40" s="34">
        <v>0</v>
      </c>
      <c r="H40" s="34">
        <v>0</v>
      </c>
      <c r="I40" s="34">
        <v>0</v>
      </c>
      <c r="J40" s="34">
        <v>0</v>
      </c>
      <c r="K40" s="35">
        <f t="shared" ref="K40:K46" si="3">SUM(E40:J40)</f>
        <v>0</v>
      </c>
      <c r="L40" s="36"/>
      <c r="M40" s="36"/>
    </row>
    <row r="41" spans="1:13" ht="18" customHeight="1" x14ac:dyDescent="0.25">
      <c r="A41" s="59" t="s">
        <v>69</v>
      </c>
      <c r="B41" s="59"/>
      <c r="C41" s="59"/>
      <c r="D41" s="59"/>
      <c r="E41" s="37">
        <v>0</v>
      </c>
      <c r="F41" s="37">
        <v>0</v>
      </c>
      <c r="G41" s="37">
        <v>0</v>
      </c>
      <c r="H41" s="37">
        <v>0</v>
      </c>
      <c r="I41" s="37">
        <v>0</v>
      </c>
      <c r="J41" s="37">
        <v>0</v>
      </c>
      <c r="K41" s="38">
        <f t="shared" si="3"/>
        <v>0</v>
      </c>
      <c r="L41" s="36"/>
      <c r="M41" s="36"/>
    </row>
    <row r="42" spans="1:13" ht="18" customHeight="1" x14ac:dyDescent="0.25">
      <c r="A42" s="62" t="s">
        <v>70</v>
      </c>
      <c r="B42" s="62"/>
      <c r="C42" s="62"/>
      <c r="D42" s="62"/>
      <c r="E42" s="39">
        <f>SUMIFS(E4:E35,B4:B35,"BCA*")</f>
        <v>0</v>
      </c>
      <c r="F42" s="39">
        <f>SUMIFS(F4:F35,B4:B35,"BCA*")</f>
        <v>0</v>
      </c>
      <c r="G42" s="39">
        <f>SUMIFS(G4:G35,B4:B35,"BCA*")</f>
        <v>0</v>
      </c>
      <c r="H42" s="39">
        <f>SUMIFS(H4:H35,B4:B35,"BCA*")</f>
        <v>0</v>
      </c>
      <c r="I42" s="39">
        <f>SUMIFS(I4:I35,B4:B35,"BCA*")</f>
        <v>0</v>
      </c>
      <c r="J42" s="39">
        <f>SUMIFS(J4:J35,B4:B35,"BCA*")</f>
        <v>0</v>
      </c>
      <c r="K42" s="32">
        <f t="shared" si="3"/>
        <v>0</v>
      </c>
      <c r="L42" s="33"/>
      <c r="M42" s="33"/>
    </row>
    <row r="43" spans="1:13" ht="18" customHeight="1" x14ac:dyDescent="0.25">
      <c r="A43" s="62" t="s">
        <v>71</v>
      </c>
      <c r="B43" s="62"/>
      <c r="C43" s="62"/>
      <c r="D43" s="62"/>
      <c r="E43" s="39">
        <f>SUMIFS(E4:E35,B4:B35,"BNI*")</f>
        <v>0</v>
      </c>
      <c r="F43" s="39">
        <f>SUMIFS(F4:F35,B4:B35,"BNI*")</f>
        <v>0</v>
      </c>
      <c r="G43" s="39">
        <f>SUMIFS(G4:G35,B4:B35,"BNI*")</f>
        <v>0</v>
      </c>
      <c r="H43" s="39">
        <f>SUMIFS(H4:H35,B4:B35,"BNI*")</f>
        <v>0</v>
      </c>
      <c r="I43" s="39">
        <f>SUMIFS(I4:I35,B4:B35,"BNI*")</f>
        <v>0</v>
      </c>
      <c r="J43" s="39">
        <f>SUMIFS(J4:J35,B4:B35,"BNI*")</f>
        <v>0</v>
      </c>
      <c r="K43" s="32">
        <f t="shared" si="3"/>
        <v>0</v>
      </c>
      <c r="L43" s="33"/>
      <c r="M43" s="33"/>
    </row>
    <row r="44" spans="1:13" ht="18" customHeight="1" x14ac:dyDescent="0.25">
      <c r="A44" s="62" t="s">
        <v>72</v>
      </c>
      <c r="B44" s="62"/>
      <c r="C44" s="62"/>
      <c r="D44" s="62"/>
      <c r="E44" s="39">
        <f>SUMIFS(E4:E35,B4:B35,"BRI*")</f>
        <v>0</v>
      </c>
      <c r="F44" s="39">
        <f>SUMIFS(F4:F35,B4:B35,"BRI*")</f>
        <v>0</v>
      </c>
      <c r="G44" s="39">
        <f>SUMIFS(G4:G35,B4:B35,"BRI*")</f>
        <v>0</v>
      </c>
      <c r="H44" s="39">
        <f>SUMIFS(H4:H35,B4:B35,"BRI*")</f>
        <v>0</v>
      </c>
      <c r="I44" s="39">
        <f>SUMIFS(I4:I35,B4:B35,"BRI*")</f>
        <v>0</v>
      </c>
      <c r="J44" s="39">
        <f>SUMIFS(J4:J35,B4:B35,"BRI*")</f>
        <v>0</v>
      </c>
      <c r="K44" s="32">
        <f t="shared" si="3"/>
        <v>0</v>
      </c>
      <c r="L44" s="33"/>
      <c r="M44" s="33"/>
    </row>
    <row r="45" spans="1:13" ht="18" customHeight="1" x14ac:dyDescent="0.25">
      <c r="A45" s="62" t="s">
        <v>73</v>
      </c>
      <c r="B45" s="62"/>
      <c r="C45" s="62"/>
      <c r="D45" s="62"/>
      <c r="E45" s="39">
        <f>SUMIFS(E4:E35,B4:B35,"MANDIRI*")</f>
        <v>0</v>
      </c>
      <c r="F45" s="39">
        <f>SUMIFS(F4:F35,B4:B35,"MANDIRI*")</f>
        <v>0</v>
      </c>
      <c r="G45" s="39">
        <f>SUMIFS(G4:G35,B4:B35,"MANDIRI*")</f>
        <v>0</v>
      </c>
      <c r="H45" s="39">
        <f>SUMIFS(H4:H35,B4:B35,"MANDIRI*")</f>
        <v>0</v>
      </c>
      <c r="I45" s="39">
        <f>SUMIFS(I4:I35,B4:B35,"MANDIRI*")</f>
        <v>0</v>
      </c>
      <c r="J45" s="39">
        <f>SUMIFS(J4:J35,B4:B35,"MANDIRI*")</f>
        <v>0</v>
      </c>
      <c r="K45" s="32">
        <f t="shared" si="3"/>
        <v>0</v>
      </c>
      <c r="L45" s="33"/>
      <c r="M45" s="33"/>
    </row>
    <row r="46" spans="1:13" ht="18" customHeight="1" x14ac:dyDescent="0.25">
      <c r="A46" s="62" t="s">
        <v>74</v>
      </c>
      <c r="B46" s="62"/>
      <c r="C46" s="62"/>
      <c r="D46" s="62"/>
      <c r="E46" s="39">
        <f>SUMIFS(E4:E35,B4:B35,"VOUCHER*")</f>
        <v>0</v>
      </c>
      <c r="F46" s="39">
        <f>SUMIFS(F4:F35,B4:B35,"VOUCHER*")</f>
        <v>0</v>
      </c>
      <c r="G46" s="39">
        <f>SUMIFS(G4:G35,B4:B35,"VOUCHER*")</f>
        <v>0</v>
      </c>
      <c r="H46" s="39">
        <f>SUMIFS(H4:H35,B4:B35,"VOUCHER*")</f>
        <v>0</v>
      </c>
      <c r="I46" s="39">
        <f>SUMIFS(I4:I35,B4:B35,"VOUCHER*")</f>
        <v>0</v>
      </c>
      <c r="J46" s="39">
        <f>SUMIFS(J4:J35,B4:B35,"VOUCHER*")</f>
        <v>0</v>
      </c>
      <c r="K46" s="32">
        <f t="shared" si="3"/>
        <v>0</v>
      </c>
      <c r="L46" s="33"/>
      <c r="M46" s="33"/>
    </row>
    <row r="47" spans="1:13" ht="18" customHeight="1" x14ac:dyDescent="0.25">
      <c r="A47" s="63" t="s">
        <v>75</v>
      </c>
      <c r="B47" s="63"/>
      <c r="C47" s="63"/>
      <c r="D47" s="63"/>
      <c r="E47" s="32">
        <f t="shared" ref="E47:K47" si="4">E35</f>
        <v>0</v>
      </c>
      <c r="F47" s="32">
        <f t="shared" si="4"/>
        <v>0</v>
      </c>
      <c r="G47" s="32">
        <f t="shared" si="4"/>
        <v>0</v>
      </c>
      <c r="H47" s="32">
        <f t="shared" si="4"/>
        <v>0</v>
      </c>
      <c r="I47" s="32">
        <f t="shared" si="4"/>
        <v>0</v>
      </c>
      <c r="J47" s="32">
        <f t="shared" si="4"/>
        <v>0</v>
      </c>
      <c r="K47" s="32">
        <f t="shared" si="4"/>
        <v>0</v>
      </c>
      <c r="L47" s="33"/>
      <c r="M47" s="33"/>
    </row>
    <row r="48" spans="1:13" ht="19.5" customHeight="1" x14ac:dyDescent="0.25">
      <c r="A48" s="63" t="s">
        <v>76</v>
      </c>
      <c r="B48" s="63"/>
      <c r="C48" s="63"/>
      <c r="D48" s="63"/>
      <c r="E48" s="32">
        <f t="shared" ref="E48:K48" si="5">E42+E43+E44+E45+E46+E47</f>
        <v>0</v>
      </c>
      <c r="F48" s="32">
        <f t="shared" si="5"/>
        <v>0</v>
      </c>
      <c r="G48" s="32">
        <f t="shared" si="5"/>
        <v>0</v>
      </c>
      <c r="H48" s="32">
        <f t="shared" si="5"/>
        <v>0</v>
      </c>
      <c r="I48" s="32">
        <f t="shared" si="5"/>
        <v>0</v>
      </c>
      <c r="J48" s="32">
        <f t="shared" si="5"/>
        <v>0</v>
      </c>
      <c r="K48" s="32">
        <f t="shared" si="5"/>
        <v>0</v>
      </c>
      <c r="L48" s="33"/>
      <c r="M48" s="33"/>
    </row>
    <row r="49" spans="1:13" ht="19.5" customHeight="1" x14ac:dyDescent="0.25">
      <c r="A49" s="58" t="s">
        <v>77</v>
      </c>
      <c r="B49" s="58"/>
      <c r="C49" s="58"/>
      <c r="D49" s="58"/>
      <c r="E49" s="40">
        <f t="shared" ref="E49:K49" si="6">E40-E48</f>
        <v>0</v>
      </c>
      <c r="F49" s="40">
        <f t="shared" si="6"/>
        <v>0</v>
      </c>
      <c r="G49" s="40">
        <f t="shared" si="6"/>
        <v>0</v>
      </c>
      <c r="H49" s="40">
        <f t="shared" si="6"/>
        <v>0</v>
      </c>
      <c r="I49" s="40">
        <f t="shared" si="6"/>
        <v>0</v>
      </c>
      <c r="J49" s="40">
        <f t="shared" si="6"/>
        <v>0</v>
      </c>
      <c r="K49" s="40">
        <f t="shared" si="6"/>
        <v>0</v>
      </c>
      <c r="L49" s="41"/>
      <c r="M49" s="41"/>
    </row>
    <row r="50" spans="1:13" ht="18" customHeight="1" x14ac:dyDescent="0.25">
      <c r="A50" s="59" t="s">
        <v>78</v>
      </c>
      <c r="B50" s="59"/>
      <c r="C50" s="59"/>
      <c r="D50" s="59"/>
      <c r="E50" s="37">
        <v>0</v>
      </c>
      <c r="F50" s="37">
        <v>0</v>
      </c>
      <c r="G50" s="37">
        <v>0</v>
      </c>
      <c r="H50" s="37">
        <v>0</v>
      </c>
      <c r="I50" s="37">
        <v>0</v>
      </c>
      <c r="J50" s="37">
        <v>0</v>
      </c>
      <c r="K50" s="38">
        <f>SUM(E50:J50)</f>
        <v>0</v>
      </c>
      <c r="L50" s="36"/>
      <c r="M50" s="36"/>
    </row>
    <row r="51" spans="1:13" ht="4.5" customHeight="1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</row>
    <row r="52" spans="1:13" ht="21.75" customHeight="1" x14ac:dyDescent="0.25">
      <c r="A52" s="67" t="s">
        <v>79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</row>
    <row r="53" spans="1:13" ht="21.75" customHeight="1" x14ac:dyDescent="0.25">
      <c r="A53" s="4" t="s">
        <v>22</v>
      </c>
      <c r="B53" s="4" t="s">
        <v>23</v>
      </c>
      <c r="C53" s="4" t="s">
        <v>24</v>
      </c>
      <c r="D53" s="4" t="s">
        <v>25</v>
      </c>
      <c r="E53" s="4" t="s">
        <v>26</v>
      </c>
      <c r="F53" s="4" t="s">
        <v>27</v>
      </c>
      <c r="G53" s="4" t="s">
        <v>28</v>
      </c>
      <c r="H53" s="4" t="s">
        <v>29</v>
      </c>
      <c r="I53" s="4" t="s">
        <v>30</v>
      </c>
      <c r="J53" s="4" t="s">
        <v>31</v>
      </c>
      <c r="K53" s="5" t="s">
        <v>32</v>
      </c>
      <c r="L53" s="4" t="s">
        <v>33</v>
      </c>
      <c r="M53" s="4" t="s">
        <v>34</v>
      </c>
    </row>
    <row r="54" spans="1:13" ht="18" customHeight="1" x14ac:dyDescent="0.25">
      <c r="A54" s="64" t="s">
        <v>35</v>
      </c>
      <c r="B54" s="64"/>
      <c r="C54" s="64"/>
      <c r="D54" s="64"/>
      <c r="E54" s="6" t="s">
        <v>36</v>
      </c>
      <c r="F54" s="6" t="s">
        <v>37</v>
      </c>
      <c r="G54" s="6" t="s">
        <v>38</v>
      </c>
      <c r="H54" s="6" t="s">
        <v>39</v>
      </c>
      <c r="I54" s="6" t="s">
        <v>40</v>
      </c>
      <c r="J54" s="6" t="s">
        <v>41</v>
      </c>
      <c r="K54" s="7"/>
      <c r="L54" s="65" t="s">
        <v>42</v>
      </c>
      <c r="M54" s="65"/>
    </row>
    <row r="55" spans="1:13" ht="18" customHeight="1" x14ac:dyDescent="0.25">
      <c r="A55" s="8" t="s">
        <v>80</v>
      </c>
      <c r="B55" s="9" t="s">
        <v>81</v>
      </c>
      <c r="C55" s="8" t="s">
        <v>45</v>
      </c>
      <c r="D55" s="10" t="s">
        <v>82</v>
      </c>
      <c r="E55" s="11"/>
      <c r="F55" s="11"/>
      <c r="G55" s="11"/>
      <c r="H55" s="21"/>
      <c r="I55" s="11"/>
      <c r="J55" s="11"/>
      <c r="K55" s="12">
        <f t="shared" ref="K55:K61" si="7">SUM(E55:J55)</f>
        <v>0</v>
      </c>
      <c r="L55" s="13"/>
      <c r="M55" s="14"/>
    </row>
    <row r="56" spans="1:13" ht="18" customHeight="1" x14ac:dyDescent="0.25">
      <c r="A56" s="15" t="s">
        <v>80</v>
      </c>
      <c r="B56" s="16" t="s">
        <v>81</v>
      </c>
      <c r="C56" s="15" t="s">
        <v>47</v>
      </c>
      <c r="D56" s="17" t="s">
        <v>82</v>
      </c>
      <c r="E56" s="18"/>
      <c r="F56" s="18"/>
      <c r="G56" s="18"/>
      <c r="H56" s="18"/>
      <c r="I56" s="18"/>
      <c r="J56" s="18"/>
      <c r="K56" s="12">
        <f t="shared" si="7"/>
        <v>0</v>
      </c>
      <c r="L56" s="19"/>
      <c r="M56" s="20"/>
    </row>
    <row r="57" spans="1:13" ht="18" customHeight="1" x14ac:dyDescent="0.25">
      <c r="A57" s="8" t="s">
        <v>80</v>
      </c>
      <c r="B57" s="9" t="s">
        <v>81</v>
      </c>
      <c r="C57" s="8" t="s">
        <v>48</v>
      </c>
      <c r="D57" s="10" t="s">
        <v>82</v>
      </c>
      <c r="E57" s="11"/>
      <c r="F57" s="11"/>
      <c r="G57" s="11"/>
      <c r="H57" s="11"/>
      <c r="I57" s="11"/>
      <c r="J57" s="11"/>
      <c r="K57" s="12">
        <f t="shared" si="7"/>
        <v>0</v>
      </c>
      <c r="L57" s="13"/>
      <c r="M57" s="14"/>
    </row>
    <row r="58" spans="1:13" ht="18" customHeight="1" x14ac:dyDescent="0.25">
      <c r="A58" s="15" t="s">
        <v>83</v>
      </c>
      <c r="B58" s="16" t="s">
        <v>84</v>
      </c>
      <c r="C58" s="15" t="s">
        <v>45</v>
      </c>
      <c r="D58" s="17" t="s">
        <v>85</v>
      </c>
      <c r="E58" s="22"/>
      <c r="F58" s="18"/>
      <c r="G58" s="18"/>
      <c r="H58" s="18"/>
      <c r="I58" s="18"/>
      <c r="J58" s="18"/>
      <c r="K58" s="12">
        <f t="shared" si="7"/>
        <v>0</v>
      </c>
      <c r="L58" s="19"/>
      <c r="M58" s="20"/>
    </row>
    <row r="59" spans="1:13" ht="18" customHeight="1" x14ac:dyDescent="0.25">
      <c r="A59" s="8" t="s">
        <v>83</v>
      </c>
      <c r="B59" s="9" t="s">
        <v>84</v>
      </c>
      <c r="C59" s="8" t="s">
        <v>47</v>
      </c>
      <c r="D59" s="10" t="s">
        <v>85</v>
      </c>
      <c r="E59" s="11"/>
      <c r="F59" s="11"/>
      <c r="G59" s="11"/>
      <c r="H59" s="11"/>
      <c r="I59" s="11"/>
      <c r="J59" s="11"/>
      <c r="K59" s="12">
        <f t="shared" si="7"/>
        <v>0</v>
      </c>
      <c r="L59" s="13"/>
      <c r="M59" s="14"/>
    </row>
    <row r="60" spans="1:13" ht="18" customHeight="1" x14ac:dyDescent="0.25">
      <c r="A60" s="15" t="s">
        <v>83</v>
      </c>
      <c r="B60" s="16" t="s">
        <v>84</v>
      </c>
      <c r="C60" s="15" t="s">
        <v>48</v>
      </c>
      <c r="D60" s="17" t="s">
        <v>85</v>
      </c>
      <c r="E60" s="18"/>
      <c r="F60" s="18"/>
      <c r="G60" s="18"/>
      <c r="H60" s="18"/>
      <c r="I60" s="18"/>
      <c r="J60" s="18"/>
      <c r="K60" s="12">
        <f t="shared" si="7"/>
        <v>0</v>
      </c>
      <c r="L60" s="19"/>
      <c r="M60" s="20"/>
    </row>
    <row r="61" spans="1:13" ht="18" customHeight="1" x14ac:dyDescent="0.25">
      <c r="A61" s="23" t="s">
        <v>63</v>
      </c>
      <c r="B61" s="24" t="s">
        <v>63</v>
      </c>
      <c r="C61" s="23" t="s">
        <v>64</v>
      </c>
      <c r="D61" s="25" t="s">
        <v>64</v>
      </c>
      <c r="E61" s="26"/>
      <c r="F61" s="27"/>
      <c r="G61" s="27"/>
      <c r="H61" s="26"/>
      <c r="I61" s="27"/>
      <c r="J61" s="27"/>
      <c r="K61" s="12">
        <f t="shared" si="7"/>
        <v>0</v>
      </c>
      <c r="L61" s="28"/>
      <c r="M61" s="29"/>
    </row>
    <row r="62" spans="1:13" ht="19.5" customHeight="1" x14ac:dyDescent="0.25">
      <c r="A62" s="66" t="s">
        <v>86</v>
      </c>
      <c r="B62" s="66"/>
      <c r="C62" s="66"/>
      <c r="D62" s="66"/>
      <c r="E62" s="30">
        <f t="shared" ref="E62:K62" si="8">SUM(E55:E61)</f>
        <v>0</v>
      </c>
      <c r="F62" s="30">
        <f t="shared" si="8"/>
        <v>0</v>
      </c>
      <c r="G62" s="30">
        <f t="shared" si="8"/>
        <v>0</v>
      </c>
      <c r="H62" s="30">
        <f t="shared" si="8"/>
        <v>0</v>
      </c>
      <c r="I62" s="30">
        <f t="shared" si="8"/>
        <v>0</v>
      </c>
      <c r="J62" s="30">
        <f t="shared" si="8"/>
        <v>0</v>
      </c>
      <c r="K62" s="30">
        <f t="shared" si="8"/>
        <v>0</v>
      </c>
      <c r="L62" s="31"/>
      <c r="M62" s="31"/>
    </row>
    <row r="63" spans="1:13" ht="4.5" customHeight="1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</row>
    <row r="64" spans="1:13" ht="18" customHeight="1" x14ac:dyDescent="0.25">
      <c r="A64" s="55" t="s">
        <v>87</v>
      </c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</row>
    <row r="65" spans="1:13" ht="18" customHeight="1" x14ac:dyDescent="0.25">
      <c r="A65" s="63" t="s">
        <v>67</v>
      </c>
      <c r="B65" s="63"/>
      <c r="C65" s="63"/>
      <c r="D65" s="63"/>
      <c r="E65" s="32">
        <f t="shared" ref="E65:K65" si="9">E62</f>
        <v>0</v>
      </c>
      <c r="F65" s="32">
        <f t="shared" si="9"/>
        <v>0</v>
      </c>
      <c r="G65" s="32">
        <f t="shared" si="9"/>
        <v>0</v>
      </c>
      <c r="H65" s="32">
        <f t="shared" si="9"/>
        <v>0</v>
      </c>
      <c r="I65" s="32">
        <f t="shared" si="9"/>
        <v>0</v>
      </c>
      <c r="J65" s="32">
        <f t="shared" si="9"/>
        <v>0</v>
      </c>
      <c r="K65" s="32">
        <f t="shared" si="9"/>
        <v>0</v>
      </c>
      <c r="L65" s="33"/>
      <c r="M65" s="33"/>
    </row>
    <row r="66" spans="1:13" ht="18" customHeight="1" x14ac:dyDescent="0.25">
      <c r="A66" s="59" t="s">
        <v>68</v>
      </c>
      <c r="B66" s="59"/>
      <c r="C66" s="59"/>
      <c r="D66" s="59"/>
      <c r="E66" s="34">
        <v>0</v>
      </c>
      <c r="F66" s="34">
        <v>0</v>
      </c>
      <c r="G66" s="34">
        <v>0</v>
      </c>
      <c r="H66" s="34">
        <v>0</v>
      </c>
      <c r="I66" s="34">
        <v>0</v>
      </c>
      <c r="J66" s="34">
        <v>0</v>
      </c>
      <c r="K66" s="35">
        <f t="shared" ref="K66:K72" si="10">SUM(E66:J66)</f>
        <v>0</v>
      </c>
      <c r="L66" s="36"/>
      <c r="M66" s="36"/>
    </row>
    <row r="67" spans="1:13" ht="18" customHeight="1" x14ac:dyDescent="0.25">
      <c r="A67" s="59" t="s">
        <v>69</v>
      </c>
      <c r="B67" s="59"/>
      <c r="C67" s="59"/>
      <c r="D67" s="59"/>
      <c r="E67" s="37">
        <v>0</v>
      </c>
      <c r="F67" s="37">
        <v>0</v>
      </c>
      <c r="G67" s="37">
        <v>0</v>
      </c>
      <c r="H67" s="37">
        <v>0</v>
      </c>
      <c r="I67" s="37">
        <v>0</v>
      </c>
      <c r="J67" s="37">
        <v>0</v>
      </c>
      <c r="K67" s="38">
        <f t="shared" si="10"/>
        <v>0</v>
      </c>
      <c r="L67" s="36"/>
      <c r="M67" s="36"/>
    </row>
    <row r="68" spans="1:13" ht="18" customHeight="1" x14ac:dyDescent="0.25">
      <c r="A68" s="62" t="s">
        <v>70</v>
      </c>
      <c r="B68" s="62"/>
      <c r="C68" s="62"/>
      <c r="D68" s="62"/>
      <c r="E68" s="39">
        <f>SUMIFS(E55:E61,B55:B61,"BCA*")</f>
        <v>0</v>
      </c>
      <c r="F68" s="39">
        <f>SUMIFS(F55:F61,B55:B61,"BCA*")</f>
        <v>0</v>
      </c>
      <c r="G68" s="39">
        <f>SUMIFS(G55:G61,B55:B61,"BCA*")</f>
        <v>0</v>
      </c>
      <c r="H68" s="39">
        <f>SUMIFS(H55:H61,B55:B61,"BCA*")</f>
        <v>0</v>
      </c>
      <c r="I68" s="39">
        <f>SUMIFS(I55:I61,B55:B61,"BCA*")</f>
        <v>0</v>
      </c>
      <c r="J68" s="39">
        <f>SUMIFS(J55:J61,B55:B61,"BCA*")</f>
        <v>0</v>
      </c>
      <c r="K68" s="32">
        <f t="shared" si="10"/>
        <v>0</v>
      </c>
      <c r="L68" s="33"/>
      <c r="M68" s="33"/>
    </row>
    <row r="69" spans="1:13" ht="18" customHeight="1" x14ac:dyDescent="0.25">
      <c r="A69" s="62" t="s">
        <v>71</v>
      </c>
      <c r="B69" s="62"/>
      <c r="C69" s="62"/>
      <c r="D69" s="62"/>
      <c r="E69" s="39">
        <f>SUMIFS(E55:E61,B55:B61,"BNI*")</f>
        <v>0</v>
      </c>
      <c r="F69" s="39">
        <f>SUMIFS(F55:F61,B55:B61,"BNI*")</f>
        <v>0</v>
      </c>
      <c r="G69" s="39">
        <f>SUMIFS(G55:G61,B55:B61,"BNI*")</f>
        <v>0</v>
      </c>
      <c r="H69" s="39">
        <f>SUMIFS(H55:H61,B55:B61,"BNI*")</f>
        <v>0</v>
      </c>
      <c r="I69" s="39">
        <f>SUMIFS(I55:I61,B55:B61,"BNI*")</f>
        <v>0</v>
      </c>
      <c r="J69" s="39">
        <f>SUMIFS(J55:J61,B55:B61,"BNI*")</f>
        <v>0</v>
      </c>
      <c r="K69" s="32">
        <f t="shared" si="10"/>
        <v>0</v>
      </c>
      <c r="L69" s="33"/>
      <c r="M69" s="33"/>
    </row>
    <row r="70" spans="1:13" ht="18" customHeight="1" x14ac:dyDescent="0.25">
      <c r="A70" s="62" t="s">
        <v>72</v>
      </c>
      <c r="B70" s="62"/>
      <c r="C70" s="62"/>
      <c r="D70" s="62"/>
      <c r="E70" s="39">
        <f>SUMIFS(E55:E61,B55:B61,"BRI*")</f>
        <v>0</v>
      </c>
      <c r="F70" s="39">
        <f>SUMIFS(F55:F61,B55:B61,"BRI*")</f>
        <v>0</v>
      </c>
      <c r="G70" s="39">
        <f>SUMIFS(G55:G61,B55:B61,"BRI*")</f>
        <v>0</v>
      </c>
      <c r="H70" s="39">
        <f>SUMIFS(H55:H61,B55:B61,"BRI*")</f>
        <v>0</v>
      </c>
      <c r="I70" s="39">
        <f>SUMIFS(I55:I61,B55:B61,"BRI*")</f>
        <v>0</v>
      </c>
      <c r="J70" s="39">
        <f>SUMIFS(J55:J61,B55:B61,"BRI*")</f>
        <v>0</v>
      </c>
      <c r="K70" s="32">
        <f t="shared" si="10"/>
        <v>0</v>
      </c>
      <c r="L70" s="33"/>
      <c r="M70" s="33"/>
    </row>
    <row r="71" spans="1:13" ht="18" customHeight="1" x14ac:dyDescent="0.25">
      <c r="A71" s="62" t="s">
        <v>73</v>
      </c>
      <c r="B71" s="62"/>
      <c r="C71" s="62"/>
      <c r="D71" s="62"/>
      <c r="E71" s="39">
        <f>SUMIFS(E55:E61,B55:B61,"MANDIRI*")</f>
        <v>0</v>
      </c>
      <c r="F71" s="39">
        <f>SUMIFS(F55:F61,B55:B61,"MANDIRI*")</f>
        <v>0</v>
      </c>
      <c r="G71" s="39">
        <f>SUMIFS(G55:G61,B55:B61,"MANDIRI*")</f>
        <v>0</v>
      </c>
      <c r="H71" s="39">
        <f>SUMIFS(H55:H61,B55:B61,"MANDIRI*")</f>
        <v>0</v>
      </c>
      <c r="I71" s="39">
        <f>SUMIFS(I55:I61,B55:B61,"MANDIRI*")</f>
        <v>0</v>
      </c>
      <c r="J71" s="39">
        <f>SUMIFS(J55:J61,B55:B61,"MANDIRI*")</f>
        <v>0</v>
      </c>
      <c r="K71" s="32">
        <f t="shared" si="10"/>
        <v>0</v>
      </c>
      <c r="L71" s="33"/>
      <c r="M71" s="33"/>
    </row>
    <row r="72" spans="1:13" ht="18" customHeight="1" x14ac:dyDescent="0.25">
      <c r="A72" s="62" t="s">
        <v>74</v>
      </c>
      <c r="B72" s="62"/>
      <c r="C72" s="62"/>
      <c r="D72" s="62"/>
      <c r="E72" s="39">
        <f>SUMIFS(E55:E61,B55:B61,"VOUCHER*")</f>
        <v>0</v>
      </c>
      <c r="F72" s="39">
        <f>SUMIFS(F55:F61,B55:B61,"VOUCHER*")</f>
        <v>0</v>
      </c>
      <c r="G72" s="39">
        <f>SUMIFS(G55:G61,B55:B61,"VOUCHER*")</f>
        <v>0</v>
      </c>
      <c r="H72" s="39">
        <f>SUMIFS(H55:H61,B55:B61,"VOUCHER*")</f>
        <v>0</v>
      </c>
      <c r="I72" s="39">
        <f>SUMIFS(I55:I61,B55:B61,"VOUCHER*")</f>
        <v>0</v>
      </c>
      <c r="J72" s="39">
        <f>SUMIFS(J55:J61,B55:B61,"VOUCHER*")</f>
        <v>0</v>
      </c>
      <c r="K72" s="32">
        <f t="shared" si="10"/>
        <v>0</v>
      </c>
      <c r="L72" s="33"/>
      <c r="M72" s="33"/>
    </row>
    <row r="73" spans="1:13" ht="18" customHeight="1" x14ac:dyDescent="0.25">
      <c r="A73" s="63" t="s">
        <v>75</v>
      </c>
      <c r="B73" s="63"/>
      <c r="C73" s="63"/>
      <c r="D73" s="63"/>
      <c r="E73" s="32">
        <f t="shared" ref="E73:K73" si="11">E61</f>
        <v>0</v>
      </c>
      <c r="F73" s="32">
        <f t="shared" si="11"/>
        <v>0</v>
      </c>
      <c r="G73" s="32">
        <f t="shared" si="11"/>
        <v>0</v>
      </c>
      <c r="H73" s="32">
        <f t="shared" si="11"/>
        <v>0</v>
      </c>
      <c r="I73" s="32">
        <f t="shared" si="11"/>
        <v>0</v>
      </c>
      <c r="J73" s="32">
        <f t="shared" si="11"/>
        <v>0</v>
      </c>
      <c r="K73" s="32">
        <f t="shared" si="11"/>
        <v>0</v>
      </c>
      <c r="L73" s="33"/>
      <c r="M73" s="33"/>
    </row>
    <row r="74" spans="1:13" ht="19.5" customHeight="1" x14ac:dyDescent="0.25">
      <c r="A74" s="63" t="s">
        <v>76</v>
      </c>
      <c r="B74" s="63"/>
      <c r="C74" s="63"/>
      <c r="D74" s="63"/>
      <c r="E74" s="32">
        <f t="shared" ref="E74:K74" si="12">E68+E69+E70+E71+E72+E73</f>
        <v>0</v>
      </c>
      <c r="F74" s="32">
        <f t="shared" si="12"/>
        <v>0</v>
      </c>
      <c r="G74" s="32">
        <f t="shared" si="12"/>
        <v>0</v>
      </c>
      <c r="H74" s="32">
        <f t="shared" si="12"/>
        <v>0</v>
      </c>
      <c r="I74" s="32">
        <f t="shared" si="12"/>
        <v>0</v>
      </c>
      <c r="J74" s="32">
        <f t="shared" si="12"/>
        <v>0</v>
      </c>
      <c r="K74" s="32">
        <f t="shared" si="12"/>
        <v>0</v>
      </c>
      <c r="L74" s="33"/>
      <c r="M74" s="33"/>
    </row>
    <row r="75" spans="1:13" ht="19.5" customHeight="1" x14ac:dyDescent="0.25">
      <c r="A75" s="58" t="s">
        <v>77</v>
      </c>
      <c r="B75" s="58"/>
      <c r="C75" s="58"/>
      <c r="D75" s="58"/>
      <c r="E75" s="40">
        <f t="shared" ref="E75:K75" si="13">E66-E74</f>
        <v>0</v>
      </c>
      <c r="F75" s="40">
        <f t="shared" si="13"/>
        <v>0</v>
      </c>
      <c r="G75" s="40">
        <f t="shared" si="13"/>
        <v>0</v>
      </c>
      <c r="H75" s="40">
        <f t="shared" si="13"/>
        <v>0</v>
      </c>
      <c r="I75" s="40">
        <f t="shared" si="13"/>
        <v>0</v>
      </c>
      <c r="J75" s="40">
        <f t="shared" si="13"/>
        <v>0</v>
      </c>
      <c r="K75" s="40">
        <f t="shared" si="13"/>
        <v>0</v>
      </c>
      <c r="L75" s="41"/>
      <c r="M75" s="41"/>
    </row>
    <row r="76" spans="1:13" ht="18" customHeight="1" x14ac:dyDescent="0.25">
      <c r="A76" s="59" t="s">
        <v>78</v>
      </c>
      <c r="B76" s="59"/>
      <c r="C76" s="59"/>
      <c r="D76" s="59"/>
      <c r="E76" s="37">
        <v>0</v>
      </c>
      <c r="F76" s="37">
        <v>0</v>
      </c>
      <c r="G76" s="37">
        <v>0</v>
      </c>
      <c r="H76" s="37">
        <v>0</v>
      </c>
      <c r="I76" s="37">
        <v>0</v>
      </c>
      <c r="J76" s="37">
        <v>0</v>
      </c>
      <c r="K76" s="38">
        <f>SUM(E76:J76)</f>
        <v>0</v>
      </c>
      <c r="L76" s="36"/>
      <c r="M76" s="36"/>
    </row>
    <row r="77" spans="1:13" ht="4.5" customHeight="1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</row>
    <row r="78" spans="1:13" ht="25.5" customHeight="1" x14ac:dyDescent="0.25">
      <c r="A78" s="61" t="s">
        <v>88</v>
      </c>
      <c r="B78" s="61"/>
      <c r="C78" s="61"/>
      <c r="D78" s="61"/>
      <c r="E78" s="42">
        <f t="shared" ref="E78:K78" si="14">E39+E65</f>
        <v>0</v>
      </c>
      <c r="F78" s="42">
        <f t="shared" si="14"/>
        <v>0</v>
      </c>
      <c r="G78" s="42">
        <f t="shared" si="14"/>
        <v>0</v>
      </c>
      <c r="H78" s="42">
        <f t="shared" si="14"/>
        <v>0</v>
      </c>
      <c r="I78" s="42">
        <f t="shared" si="14"/>
        <v>0</v>
      </c>
      <c r="J78" s="42">
        <f t="shared" si="14"/>
        <v>0</v>
      </c>
      <c r="K78" s="42">
        <f t="shared" si="14"/>
        <v>0</v>
      </c>
      <c r="L78" s="43"/>
      <c r="M78" s="43"/>
    </row>
    <row r="79" spans="1:13" ht="4.5" customHeight="1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</row>
    <row r="80" spans="1:13" ht="18" customHeight="1" x14ac:dyDescent="0.25">
      <c r="A80" s="56" t="s">
        <v>89</v>
      </c>
      <c r="B80" s="56"/>
      <c r="C80" s="56"/>
      <c r="D80" s="56"/>
      <c r="E80" s="56"/>
      <c r="F80" s="56"/>
      <c r="H80" s="56" t="s">
        <v>90</v>
      </c>
      <c r="I80" s="56"/>
      <c r="J80" s="56"/>
      <c r="K80" s="56"/>
      <c r="L80" s="56"/>
      <c r="M80" s="56"/>
    </row>
    <row r="81" spans="1:13" ht="18" customHeight="1" x14ac:dyDescent="0.25">
      <c r="A81" s="57" t="s">
        <v>91</v>
      </c>
      <c r="B81" s="57"/>
      <c r="C81" s="57"/>
      <c r="D81" s="57"/>
      <c r="E81" s="57"/>
      <c r="F81" s="57"/>
      <c r="H81" s="57" t="s">
        <v>91</v>
      </c>
      <c r="I81" s="57"/>
      <c r="J81" s="57"/>
      <c r="K81" s="57"/>
      <c r="L81" s="57"/>
      <c r="M81" s="57"/>
    </row>
    <row r="82" spans="1:13" ht="39.75" customHeight="1" x14ac:dyDescent="0.25">
      <c r="A82" s="57" t="s">
        <v>92</v>
      </c>
      <c r="B82" s="57"/>
      <c r="C82" s="57"/>
      <c r="D82" s="57"/>
      <c r="E82" s="57"/>
      <c r="F82" s="57"/>
      <c r="H82" s="57" t="s">
        <v>92</v>
      </c>
      <c r="I82" s="57"/>
      <c r="J82" s="57"/>
      <c r="K82" s="57"/>
      <c r="L82" s="57"/>
      <c r="M82" s="57"/>
    </row>
  </sheetData>
  <mergeCells count="46">
    <mergeCell ref="A1:M1"/>
    <mergeCell ref="A3:D3"/>
    <mergeCell ref="L3:M3"/>
    <mergeCell ref="A36:D36"/>
    <mergeCell ref="A37:M37"/>
    <mergeCell ref="A38:M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M51"/>
    <mergeCell ref="A52:M52"/>
    <mergeCell ref="A54:D54"/>
    <mergeCell ref="L54:M54"/>
    <mergeCell ref="A62:D62"/>
    <mergeCell ref="A63:M63"/>
    <mergeCell ref="A64:M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M77"/>
    <mergeCell ref="A78:D78"/>
    <mergeCell ref="A79:M79"/>
    <mergeCell ref="A80:F80"/>
    <mergeCell ref="H80:M80"/>
    <mergeCell ref="A81:F81"/>
    <mergeCell ref="H81:M81"/>
    <mergeCell ref="A82:F82"/>
    <mergeCell ref="H82:M82"/>
  </mergeCells>
  <dataValidations count="2">
    <dataValidation type="list" allowBlank="1" showErrorMessage="1" errorTitle="Jenis Tidak Valid" error="Hanya: QR, DEBIT, KK" sqref="C1:C500" xr:uid="{00000000-0002-0000-0100-000000000000}">
      <formula1>"QR,DEBIT,KK,-"</formula1>
      <formula2>0</formula2>
    </dataValidation>
    <dataValidation type="list" allowBlank="1" showErrorMessage="1" errorTitle="Entitas Tidak Valid" error="Pilih dari daftar." sqref="D1:D500" xr:uid="{00000000-0002-0000-0100-000001000000}">
      <formula1>"PT CAHAYA MENTARI BERSINAR,CV BERKAT JAYA BAHAGIA,CV TUNAS MUDA KREASI,CV KARYA BERSAMA ANUGERAH,-"</formula1>
      <formula2>0</formula2>
    </dataValidation>
  </dataValidations>
  <pageMargins left="0.75" right="0.75" top="1" bottom="1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67"/>
  <sheetViews>
    <sheetView showGridLines="0" zoomScaleNormal="10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H44" sqref="H44"/>
    </sheetView>
  </sheetViews>
  <sheetFormatPr defaultColWidth="8.7109375" defaultRowHeight="15" x14ac:dyDescent="0.25"/>
  <cols>
    <col min="1" max="1" width="10" style="1" customWidth="1"/>
    <col min="2" max="2" width="22" style="1" customWidth="1"/>
    <col min="3" max="3" width="8" style="1" customWidth="1"/>
    <col min="4" max="4" width="28" style="1" customWidth="1"/>
    <col min="5" max="10" width="13" style="1" customWidth="1"/>
    <col min="11" max="11" width="16" style="1" customWidth="1"/>
    <col min="12" max="12" width="28" style="1" customWidth="1"/>
    <col min="13" max="13" width="38" style="1" customWidth="1"/>
  </cols>
  <sheetData>
    <row r="1" spans="1:13" ht="21.75" customHeight="1" x14ac:dyDescent="0.25">
      <c r="A1" s="67" t="s">
        <v>113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</row>
    <row r="2" spans="1:13" ht="21.75" customHeight="1" x14ac:dyDescent="0.25">
      <c r="A2" s="4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G2" s="4" t="s">
        <v>28</v>
      </c>
      <c r="H2" s="4" t="s">
        <v>29</v>
      </c>
      <c r="I2" s="4" t="s">
        <v>30</v>
      </c>
      <c r="J2" s="4" t="s">
        <v>31</v>
      </c>
      <c r="K2" s="5" t="s">
        <v>32</v>
      </c>
      <c r="L2" s="4" t="s">
        <v>33</v>
      </c>
      <c r="M2" s="4" t="s">
        <v>34</v>
      </c>
    </row>
    <row r="3" spans="1:13" ht="18" customHeight="1" x14ac:dyDescent="0.25">
      <c r="A3" s="64" t="s">
        <v>35</v>
      </c>
      <c r="B3" s="64"/>
      <c r="C3" s="64"/>
      <c r="D3" s="64"/>
      <c r="E3" s="6" t="s">
        <v>38</v>
      </c>
      <c r="F3" s="6" t="s">
        <v>37</v>
      </c>
      <c r="G3" s="6" t="s">
        <v>93</v>
      </c>
      <c r="H3" s="6" t="s">
        <v>94</v>
      </c>
      <c r="I3" s="6" t="s">
        <v>40</v>
      </c>
      <c r="J3" s="6" t="s">
        <v>41</v>
      </c>
      <c r="K3" s="7"/>
      <c r="L3" s="65" t="s">
        <v>42</v>
      </c>
      <c r="M3" s="65"/>
    </row>
    <row r="4" spans="1:13" ht="18" customHeight="1" x14ac:dyDescent="0.25">
      <c r="A4" s="8" t="s">
        <v>43</v>
      </c>
      <c r="B4" s="9" t="s">
        <v>95</v>
      </c>
      <c r="C4" s="8" t="s">
        <v>45</v>
      </c>
      <c r="D4" s="10" t="s">
        <v>46</v>
      </c>
      <c r="E4" s="11"/>
      <c r="F4" s="11"/>
      <c r="G4" s="11"/>
      <c r="H4" s="11"/>
      <c r="I4" s="11"/>
      <c r="J4" s="11"/>
      <c r="K4" s="12">
        <f t="shared" ref="K4:K19" si="0">SUM(E4:J4)</f>
        <v>0</v>
      </c>
      <c r="L4" s="13"/>
      <c r="M4" s="14"/>
    </row>
    <row r="5" spans="1:13" ht="18" customHeight="1" x14ac:dyDescent="0.25">
      <c r="A5" s="15" t="s">
        <v>43</v>
      </c>
      <c r="B5" s="16" t="s">
        <v>95</v>
      </c>
      <c r="C5" s="15" t="s">
        <v>47</v>
      </c>
      <c r="D5" s="17" t="s">
        <v>46</v>
      </c>
      <c r="E5" s="18"/>
      <c r="F5" s="18"/>
      <c r="G5" s="18"/>
      <c r="H5" s="18"/>
      <c r="I5" s="18"/>
      <c r="J5" s="18"/>
      <c r="K5" s="12">
        <f t="shared" si="0"/>
        <v>0</v>
      </c>
      <c r="L5" s="19"/>
      <c r="M5" s="20"/>
    </row>
    <row r="6" spans="1:13" ht="18" customHeight="1" x14ac:dyDescent="0.25">
      <c r="A6" s="8" t="s">
        <v>43</v>
      </c>
      <c r="B6" s="9" t="s">
        <v>95</v>
      </c>
      <c r="C6" s="8" t="s">
        <v>48</v>
      </c>
      <c r="D6" s="10" t="s">
        <v>46</v>
      </c>
      <c r="E6" s="11"/>
      <c r="F6" s="11"/>
      <c r="G6" s="11"/>
      <c r="H6" s="11"/>
      <c r="I6" s="11"/>
      <c r="J6" s="11"/>
      <c r="K6" s="12">
        <f t="shared" si="0"/>
        <v>0</v>
      </c>
      <c r="L6" s="13"/>
      <c r="M6" s="14"/>
    </row>
    <row r="7" spans="1:13" ht="18" customHeight="1" x14ac:dyDescent="0.25">
      <c r="A7" s="15" t="s">
        <v>43</v>
      </c>
      <c r="B7" s="16" t="s">
        <v>49</v>
      </c>
      <c r="C7" s="15" t="s">
        <v>45</v>
      </c>
      <c r="D7" s="17" t="s">
        <v>46</v>
      </c>
      <c r="E7" s="22"/>
      <c r="F7" s="18"/>
      <c r="G7" s="18"/>
      <c r="H7" s="18"/>
      <c r="I7" s="18"/>
      <c r="J7" s="18"/>
      <c r="K7" s="12">
        <f t="shared" si="0"/>
        <v>0</v>
      </c>
      <c r="L7" s="19"/>
      <c r="M7" s="20"/>
    </row>
    <row r="8" spans="1:13" ht="18" customHeight="1" x14ac:dyDescent="0.25">
      <c r="A8" s="8" t="s">
        <v>43</v>
      </c>
      <c r="B8" s="9" t="s">
        <v>49</v>
      </c>
      <c r="C8" s="8" t="s">
        <v>47</v>
      </c>
      <c r="D8" s="10" t="s">
        <v>46</v>
      </c>
      <c r="E8" s="11"/>
      <c r="F8" s="11"/>
      <c r="G8" s="11"/>
      <c r="H8" s="11"/>
      <c r="I8" s="11"/>
      <c r="J8" s="11"/>
      <c r="K8" s="12">
        <f t="shared" si="0"/>
        <v>0</v>
      </c>
      <c r="L8" s="13"/>
      <c r="M8" s="14"/>
    </row>
    <row r="9" spans="1:13" ht="18" customHeight="1" x14ac:dyDescent="0.25">
      <c r="A9" s="15" t="s">
        <v>43</v>
      </c>
      <c r="B9" s="16" t="s">
        <v>49</v>
      </c>
      <c r="C9" s="15" t="s">
        <v>48</v>
      </c>
      <c r="D9" s="17" t="s">
        <v>46</v>
      </c>
      <c r="E9" s="18"/>
      <c r="F9" s="18"/>
      <c r="G9" s="18"/>
      <c r="H9" s="18"/>
      <c r="I9" s="18"/>
      <c r="J9" s="18"/>
      <c r="K9" s="12">
        <f t="shared" si="0"/>
        <v>0</v>
      </c>
      <c r="L9" s="19"/>
      <c r="M9" s="20"/>
    </row>
    <row r="10" spans="1:13" ht="18" customHeight="1" x14ac:dyDescent="0.25">
      <c r="A10" s="8" t="s">
        <v>52</v>
      </c>
      <c r="B10" s="9" t="s">
        <v>96</v>
      </c>
      <c r="C10" s="8" t="s">
        <v>45</v>
      </c>
      <c r="D10" s="10" t="s">
        <v>46</v>
      </c>
      <c r="E10" s="11"/>
      <c r="F10" s="11"/>
      <c r="G10" s="11"/>
      <c r="H10" s="11"/>
      <c r="I10" s="11"/>
      <c r="J10" s="11"/>
      <c r="K10" s="12">
        <f t="shared" si="0"/>
        <v>0</v>
      </c>
      <c r="L10" s="13"/>
      <c r="M10" s="14"/>
    </row>
    <row r="11" spans="1:13" ht="18" customHeight="1" x14ac:dyDescent="0.25">
      <c r="A11" s="15" t="s">
        <v>52</v>
      </c>
      <c r="B11" s="16" t="s">
        <v>96</v>
      </c>
      <c r="C11" s="15" t="s">
        <v>47</v>
      </c>
      <c r="D11" s="17" t="s">
        <v>46</v>
      </c>
      <c r="E11" s="18"/>
      <c r="F11" s="18"/>
      <c r="G11" s="18"/>
      <c r="H11" s="18"/>
      <c r="I11" s="18"/>
      <c r="J11" s="18"/>
      <c r="K11" s="12">
        <f t="shared" si="0"/>
        <v>0</v>
      </c>
      <c r="L11" s="19"/>
      <c r="M11" s="20"/>
    </row>
    <row r="12" spans="1:13" ht="18" customHeight="1" x14ac:dyDescent="0.25">
      <c r="A12" s="8" t="s">
        <v>52</v>
      </c>
      <c r="B12" s="9" t="s">
        <v>96</v>
      </c>
      <c r="C12" s="8" t="s">
        <v>48</v>
      </c>
      <c r="D12" s="10" t="s">
        <v>46</v>
      </c>
      <c r="E12" s="21"/>
      <c r="F12" s="11"/>
      <c r="G12" s="11"/>
      <c r="H12" s="11"/>
      <c r="I12" s="11"/>
      <c r="J12" s="11"/>
      <c r="K12" s="12">
        <f t="shared" si="0"/>
        <v>0</v>
      </c>
      <c r="L12" s="13"/>
      <c r="M12" s="14"/>
    </row>
    <row r="13" spans="1:13" ht="18" customHeight="1" x14ac:dyDescent="0.25">
      <c r="A13" s="15" t="s">
        <v>59</v>
      </c>
      <c r="B13" s="16" t="s">
        <v>97</v>
      </c>
      <c r="C13" s="15" t="s">
        <v>45</v>
      </c>
      <c r="D13" s="17" t="s">
        <v>46</v>
      </c>
      <c r="E13" s="18"/>
      <c r="F13" s="18"/>
      <c r="G13" s="18"/>
      <c r="H13" s="18"/>
      <c r="I13" s="18"/>
      <c r="J13" s="18"/>
      <c r="K13" s="12">
        <f t="shared" si="0"/>
        <v>0</v>
      </c>
      <c r="L13" s="19"/>
      <c r="M13" s="20"/>
    </row>
    <row r="14" spans="1:13" ht="18" customHeight="1" x14ac:dyDescent="0.25">
      <c r="A14" s="8" t="s">
        <v>59</v>
      </c>
      <c r="B14" s="9" t="s">
        <v>97</v>
      </c>
      <c r="C14" s="8" t="s">
        <v>47</v>
      </c>
      <c r="D14" s="10" t="s">
        <v>46</v>
      </c>
      <c r="E14" s="11"/>
      <c r="F14" s="11"/>
      <c r="G14" s="11"/>
      <c r="H14" s="11"/>
      <c r="I14" s="11"/>
      <c r="J14" s="11"/>
      <c r="K14" s="12">
        <f t="shared" si="0"/>
        <v>0</v>
      </c>
      <c r="L14" s="13"/>
      <c r="M14" s="14"/>
    </row>
    <row r="15" spans="1:13" ht="18" customHeight="1" x14ac:dyDescent="0.25">
      <c r="A15" s="15" t="s">
        <v>59</v>
      </c>
      <c r="B15" s="16" t="s">
        <v>97</v>
      </c>
      <c r="C15" s="15" t="s">
        <v>48</v>
      </c>
      <c r="D15" s="17" t="s">
        <v>46</v>
      </c>
      <c r="E15" s="18"/>
      <c r="F15" s="18"/>
      <c r="G15" s="18"/>
      <c r="H15" s="22"/>
      <c r="I15" s="18"/>
      <c r="J15" s="18"/>
      <c r="K15" s="12">
        <f t="shared" si="0"/>
        <v>0</v>
      </c>
      <c r="L15" s="19"/>
      <c r="M15" s="20"/>
    </row>
    <row r="16" spans="1:13" ht="18" customHeight="1" x14ac:dyDescent="0.25">
      <c r="A16" s="8" t="s">
        <v>56</v>
      </c>
      <c r="B16" s="9" t="s">
        <v>57</v>
      </c>
      <c r="C16" s="8" t="s">
        <v>45</v>
      </c>
      <c r="D16" s="10" t="s">
        <v>46</v>
      </c>
      <c r="E16" s="11"/>
      <c r="F16" s="11"/>
      <c r="G16" s="11"/>
      <c r="H16" s="11"/>
      <c r="I16" s="11"/>
      <c r="J16" s="11"/>
      <c r="K16" s="12">
        <f t="shared" si="0"/>
        <v>0</v>
      </c>
      <c r="L16" s="13"/>
      <c r="M16" s="14"/>
    </row>
    <row r="17" spans="1:13" ht="18" customHeight="1" x14ac:dyDescent="0.25">
      <c r="A17" s="15" t="s">
        <v>56</v>
      </c>
      <c r="B17" s="16" t="s">
        <v>57</v>
      </c>
      <c r="C17" s="15" t="s">
        <v>47</v>
      </c>
      <c r="D17" s="17" t="s">
        <v>46</v>
      </c>
      <c r="E17" s="18"/>
      <c r="F17" s="18"/>
      <c r="G17" s="22"/>
      <c r="H17" s="18"/>
      <c r="I17" s="18"/>
      <c r="J17" s="18"/>
      <c r="K17" s="12">
        <f t="shared" si="0"/>
        <v>0</v>
      </c>
      <c r="L17" s="19"/>
      <c r="M17" s="20"/>
    </row>
    <row r="18" spans="1:13" ht="18" customHeight="1" x14ac:dyDescent="0.25">
      <c r="A18" s="8" t="s">
        <v>56</v>
      </c>
      <c r="B18" s="9" t="s">
        <v>57</v>
      </c>
      <c r="C18" s="8" t="s">
        <v>48</v>
      </c>
      <c r="D18" s="10" t="s">
        <v>46</v>
      </c>
      <c r="E18" s="11"/>
      <c r="F18" s="11"/>
      <c r="G18" s="21"/>
      <c r="H18" s="11"/>
      <c r="I18" s="11"/>
      <c r="J18" s="11"/>
      <c r="K18" s="12">
        <f t="shared" si="0"/>
        <v>0</v>
      </c>
      <c r="L18" s="13"/>
      <c r="M18" s="14"/>
    </row>
    <row r="19" spans="1:13" ht="18" customHeight="1" x14ac:dyDescent="0.25">
      <c r="A19" s="23" t="s">
        <v>63</v>
      </c>
      <c r="B19" s="24" t="s">
        <v>63</v>
      </c>
      <c r="C19" s="23" t="s">
        <v>64</v>
      </c>
      <c r="D19" s="25" t="s">
        <v>64</v>
      </c>
      <c r="E19" s="26"/>
      <c r="F19" s="27"/>
      <c r="G19" s="26"/>
      <c r="H19" s="26"/>
      <c r="I19" s="26"/>
      <c r="J19" s="27"/>
      <c r="K19" s="12">
        <f t="shared" si="0"/>
        <v>0</v>
      </c>
      <c r="L19" s="28"/>
      <c r="M19" s="29"/>
    </row>
    <row r="20" spans="1:13" ht="19.5" customHeight="1" x14ac:dyDescent="0.25">
      <c r="A20" s="66" t="s">
        <v>65</v>
      </c>
      <c r="B20" s="66"/>
      <c r="C20" s="66"/>
      <c r="D20" s="66"/>
      <c r="E20" s="30">
        <f t="shared" ref="E20:K20" si="1">SUM(E4:E19)</f>
        <v>0</v>
      </c>
      <c r="F20" s="30">
        <f t="shared" si="1"/>
        <v>0</v>
      </c>
      <c r="G20" s="30">
        <f t="shared" si="1"/>
        <v>0</v>
      </c>
      <c r="H20" s="30">
        <f t="shared" si="1"/>
        <v>0</v>
      </c>
      <c r="I20" s="30">
        <f t="shared" si="1"/>
        <v>0</v>
      </c>
      <c r="J20" s="30">
        <f t="shared" si="1"/>
        <v>0</v>
      </c>
      <c r="K20" s="30">
        <f t="shared" si="1"/>
        <v>0</v>
      </c>
      <c r="L20" s="31"/>
      <c r="M20" s="31"/>
    </row>
    <row r="21" spans="1:13" ht="4.5" customHeight="1" x14ac:dyDescent="0.25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</row>
    <row r="22" spans="1:13" ht="18" customHeight="1" x14ac:dyDescent="0.25">
      <c r="A22" s="55" t="s">
        <v>66</v>
      </c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</row>
    <row r="23" spans="1:13" ht="18" customHeight="1" x14ac:dyDescent="0.25">
      <c r="A23" s="63" t="s">
        <v>67</v>
      </c>
      <c r="B23" s="63"/>
      <c r="C23" s="63"/>
      <c r="D23" s="63"/>
      <c r="E23" s="32">
        <f t="shared" ref="E23:K23" si="2">E20</f>
        <v>0</v>
      </c>
      <c r="F23" s="32">
        <f t="shared" si="2"/>
        <v>0</v>
      </c>
      <c r="G23" s="32">
        <f t="shared" si="2"/>
        <v>0</v>
      </c>
      <c r="H23" s="32">
        <f t="shared" si="2"/>
        <v>0</v>
      </c>
      <c r="I23" s="32">
        <f t="shared" si="2"/>
        <v>0</v>
      </c>
      <c r="J23" s="32">
        <f t="shared" si="2"/>
        <v>0</v>
      </c>
      <c r="K23" s="32">
        <f t="shared" si="2"/>
        <v>0</v>
      </c>
      <c r="L23" s="33"/>
      <c r="M23" s="33"/>
    </row>
    <row r="24" spans="1:13" ht="18" customHeight="1" x14ac:dyDescent="0.25">
      <c r="A24" s="59" t="s">
        <v>68</v>
      </c>
      <c r="B24" s="59"/>
      <c r="C24" s="59"/>
      <c r="D24" s="59"/>
      <c r="E24" s="34">
        <v>0</v>
      </c>
      <c r="F24" s="34">
        <v>0</v>
      </c>
      <c r="G24" s="34">
        <v>0</v>
      </c>
      <c r="H24" s="34">
        <v>0</v>
      </c>
      <c r="I24" s="34">
        <v>0</v>
      </c>
      <c r="J24" s="34">
        <v>0</v>
      </c>
      <c r="K24" s="35">
        <f t="shared" ref="K24:K30" si="3">SUM(E24:J24)</f>
        <v>0</v>
      </c>
      <c r="L24" s="36"/>
      <c r="M24" s="36"/>
    </row>
    <row r="25" spans="1:13" ht="18" customHeight="1" x14ac:dyDescent="0.25">
      <c r="A25" s="59" t="s">
        <v>69</v>
      </c>
      <c r="B25" s="59"/>
      <c r="C25" s="59"/>
      <c r="D25" s="59"/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8">
        <f t="shared" si="3"/>
        <v>0</v>
      </c>
      <c r="L25" s="36"/>
      <c r="M25" s="36"/>
    </row>
    <row r="26" spans="1:13" ht="18" customHeight="1" x14ac:dyDescent="0.25">
      <c r="A26" s="62" t="s">
        <v>70</v>
      </c>
      <c r="B26" s="62"/>
      <c r="C26" s="62"/>
      <c r="D26" s="62"/>
      <c r="E26" s="39">
        <f>SUMIFS(E4:E19,B4:B19,"BCA*")</f>
        <v>0</v>
      </c>
      <c r="F26" s="39">
        <f>SUMIFS(F4:F19,B4:B19,"BCA*")</f>
        <v>0</v>
      </c>
      <c r="G26" s="39">
        <f>SUMIFS(G4:G19,B4:B19,"BCA*")</f>
        <v>0</v>
      </c>
      <c r="H26" s="39">
        <f>SUMIFS(H4:H19,B4:B19,"BCA*")</f>
        <v>0</v>
      </c>
      <c r="I26" s="39">
        <f>SUMIFS(I4:I19,B4:B19,"BCA*")</f>
        <v>0</v>
      </c>
      <c r="J26" s="39">
        <f>SUMIFS(J4:J19,B4:B19,"BCA*")</f>
        <v>0</v>
      </c>
      <c r="K26" s="32">
        <f t="shared" si="3"/>
        <v>0</v>
      </c>
      <c r="L26" s="33"/>
      <c r="M26" s="33"/>
    </row>
    <row r="27" spans="1:13" ht="18" customHeight="1" x14ac:dyDescent="0.25">
      <c r="A27" s="62" t="s">
        <v>71</v>
      </c>
      <c r="B27" s="62"/>
      <c r="C27" s="62"/>
      <c r="D27" s="62"/>
      <c r="E27" s="39">
        <f>SUMIFS(E4:E19,B4:B19,"BNI*")</f>
        <v>0</v>
      </c>
      <c r="F27" s="39">
        <f>SUMIFS(F4:F19,B4:B19,"BNI*")</f>
        <v>0</v>
      </c>
      <c r="G27" s="39">
        <f>SUMIFS(G4:G19,B4:B19,"BNI*")</f>
        <v>0</v>
      </c>
      <c r="H27" s="39">
        <f>SUMIFS(H4:H19,B4:B19,"BNI*")</f>
        <v>0</v>
      </c>
      <c r="I27" s="39">
        <f>SUMIFS(I4:I19,B4:B19,"BNI*")</f>
        <v>0</v>
      </c>
      <c r="J27" s="39">
        <f>SUMIFS(J4:J19,B4:B19,"BNI*")</f>
        <v>0</v>
      </c>
      <c r="K27" s="32">
        <f t="shared" si="3"/>
        <v>0</v>
      </c>
      <c r="L27" s="33"/>
      <c r="M27" s="33"/>
    </row>
    <row r="28" spans="1:13" ht="18" customHeight="1" x14ac:dyDescent="0.25">
      <c r="A28" s="62" t="s">
        <v>72</v>
      </c>
      <c r="B28" s="62"/>
      <c r="C28" s="62"/>
      <c r="D28" s="62"/>
      <c r="E28" s="39">
        <f>SUMIFS(E4:E19,B4:B19,"BRI*")</f>
        <v>0</v>
      </c>
      <c r="F28" s="39">
        <f>SUMIFS(F4:F19,B4:B19,"BRI*")</f>
        <v>0</v>
      </c>
      <c r="G28" s="39">
        <f>SUMIFS(G4:G19,B4:B19,"BRI*")</f>
        <v>0</v>
      </c>
      <c r="H28" s="39">
        <f>SUMIFS(H4:H19,B4:B19,"BRI*")</f>
        <v>0</v>
      </c>
      <c r="I28" s="39">
        <f>SUMIFS(I4:I19,B4:B19,"BRI*")</f>
        <v>0</v>
      </c>
      <c r="J28" s="39">
        <f>SUMIFS(J4:J19,B4:B19,"BRI*")</f>
        <v>0</v>
      </c>
      <c r="K28" s="32">
        <f t="shared" si="3"/>
        <v>0</v>
      </c>
      <c r="L28" s="33"/>
      <c r="M28" s="33"/>
    </row>
    <row r="29" spans="1:13" ht="18" customHeight="1" x14ac:dyDescent="0.25">
      <c r="A29" s="62" t="s">
        <v>73</v>
      </c>
      <c r="B29" s="62"/>
      <c r="C29" s="62"/>
      <c r="D29" s="62"/>
      <c r="E29" s="39">
        <f>SUMIFS(E4:E19,B4:B19,"MANDIRI*")</f>
        <v>0</v>
      </c>
      <c r="F29" s="39">
        <f>SUMIFS(F4:F19,B4:B19,"MANDIRI*")</f>
        <v>0</v>
      </c>
      <c r="G29" s="39">
        <f>SUMIFS(G4:G19,B4:B19,"MANDIRI*")</f>
        <v>0</v>
      </c>
      <c r="H29" s="39">
        <f>SUMIFS(H4:H19,B4:B19,"MANDIRI*")</f>
        <v>0</v>
      </c>
      <c r="I29" s="39">
        <f>SUMIFS(I4:I19,B4:B19,"MANDIRI*")</f>
        <v>0</v>
      </c>
      <c r="J29" s="39">
        <f>SUMIFS(J4:J19,B4:B19,"MANDIRI*")</f>
        <v>0</v>
      </c>
      <c r="K29" s="32">
        <f t="shared" si="3"/>
        <v>0</v>
      </c>
      <c r="L29" s="33"/>
      <c r="M29" s="33"/>
    </row>
    <row r="30" spans="1:13" ht="18" customHeight="1" x14ac:dyDescent="0.25">
      <c r="A30" s="62" t="s">
        <v>74</v>
      </c>
      <c r="B30" s="62"/>
      <c r="C30" s="62"/>
      <c r="D30" s="62"/>
      <c r="E30" s="39">
        <f>SUMIFS(E4:E19,B4:B19,"VOUCHER*")</f>
        <v>0</v>
      </c>
      <c r="F30" s="39">
        <f>SUMIFS(F4:F19,B4:B19,"VOUCHER*")</f>
        <v>0</v>
      </c>
      <c r="G30" s="39">
        <f>SUMIFS(G4:G19,B4:B19,"VOUCHER*")</f>
        <v>0</v>
      </c>
      <c r="H30" s="39">
        <f>SUMIFS(H4:H19,B4:B19,"VOUCHER*")</f>
        <v>0</v>
      </c>
      <c r="I30" s="39">
        <f>SUMIFS(I4:I19,B4:B19,"VOUCHER*")</f>
        <v>0</v>
      </c>
      <c r="J30" s="39">
        <f>SUMIFS(J4:J19,B4:B19,"VOUCHER*")</f>
        <v>0</v>
      </c>
      <c r="K30" s="32">
        <f t="shared" si="3"/>
        <v>0</v>
      </c>
      <c r="L30" s="33"/>
      <c r="M30" s="33"/>
    </row>
    <row r="31" spans="1:13" ht="18" customHeight="1" x14ac:dyDescent="0.25">
      <c r="A31" s="63" t="s">
        <v>75</v>
      </c>
      <c r="B31" s="63"/>
      <c r="C31" s="63"/>
      <c r="D31" s="63"/>
      <c r="E31" s="32">
        <f t="shared" ref="E31:K31" si="4">E19</f>
        <v>0</v>
      </c>
      <c r="F31" s="32">
        <f t="shared" si="4"/>
        <v>0</v>
      </c>
      <c r="G31" s="32">
        <f t="shared" si="4"/>
        <v>0</v>
      </c>
      <c r="H31" s="32">
        <f t="shared" si="4"/>
        <v>0</v>
      </c>
      <c r="I31" s="32">
        <f t="shared" si="4"/>
        <v>0</v>
      </c>
      <c r="J31" s="32">
        <f t="shared" si="4"/>
        <v>0</v>
      </c>
      <c r="K31" s="32">
        <f t="shared" si="4"/>
        <v>0</v>
      </c>
      <c r="L31" s="33"/>
      <c r="M31" s="33"/>
    </row>
    <row r="32" spans="1:13" ht="19.5" customHeight="1" x14ac:dyDescent="0.25">
      <c r="A32" s="63" t="s">
        <v>76</v>
      </c>
      <c r="B32" s="63"/>
      <c r="C32" s="63"/>
      <c r="D32" s="63"/>
      <c r="E32" s="32">
        <f t="shared" ref="E32:K32" si="5">E26+E27+E28+E29+E30+E31</f>
        <v>0</v>
      </c>
      <c r="F32" s="32">
        <f t="shared" si="5"/>
        <v>0</v>
      </c>
      <c r="G32" s="32">
        <f t="shared" si="5"/>
        <v>0</v>
      </c>
      <c r="H32" s="32">
        <f t="shared" si="5"/>
        <v>0</v>
      </c>
      <c r="I32" s="32">
        <f t="shared" si="5"/>
        <v>0</v>
      </c>
      <c r="J32" s="32">
        <f t="shared" si="5"/>
        <v>0</v>
      </c>
      <c r="K32" s="32">
        <f t="shared" si="5"/>
        <v>0</v>
      </c>
      <c r="L32" s="33"/>
      <c r="M32" s="33"/>
    </row>
    <row r="33" spans="1:13" ht="19.5" customHeight="1" x14ac:dyDescent="0.25">
      <c r="A33" s="58" t="s">
        <v>77</v>
      </c>
      <c r="B33" s="58"/>
      <c r="C33" s="58"/>
      <c r="D33" s="58"/>
      <c r="E33" s="40">
        <f t="shared" ref="E33:K33" si="6">E24-E32</f>
        <v>0</v>
      </c>
      <c r="F33" s="40">
        <f t="shared" si="6"/>
        <v>0</v>
      </c>
      <c r="G33" s="40">
        <f t="shared" si="6"/>
        <v>0</v>
      </c>
      <c r="H33" s="40">
        <f t="shared" si="6"/>
        <v>0</v>
      </c>
      <c r="I33" s="40">
        <f t="shared" si="6"/>
        <v>0</v>
      </c>
      <c r="J33" s="40">
        <f t="shared" si="6"/>
        <v>0</v>
      </c>
      <c r="K33" s="40">
        <f t="shared" si="6"/>
        <v>0</v>
      </c>
      <c r="L33" s="41"/>
      <c r="M33" s="41"/>
    </row>
    <row r="34" spans="1:13" ht="18" customHeight="1" x14ac:dyDescent="0.25">
      <c r="A34" s="59" t="s">
        <v>78</v>
      </c>
      <c r="B34" s="59"/>
      <c r="C34" s="59"/>
      <c r="D34" s="59"/>
      <c r="E34" s="37">
        <v>0</v>
      </c>
      <c r="F34" s="37">
        <v>0</v>
      </c>
      <c r="G34" s="37">
        <v>0</v>
      </c>
      <c r="H34" s="37">
        <v>0</v>
      </c>
      <c r="I34" s="37">
        <v>0</v>
      </c>
      <c r="J34" s="37">
        <v>0</v>
      </c>
      <c r="K34" s="38">
        <f>SUM(E34:J34)</f>
        <v>0</v>
      </c>
      <c r="L34" s="36"/>
      <c r="M34" s="36"/>
    </row>
    <row r="35" spans="1:13" ht="4.5" customHeight="1" x14ac:dyDescent="0.25">
      <c r="A35" s="60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</row>
    <row r="36" spans="1:13" ht="21.75" customHeight="1" x14ac:dyDescent="0.25">
      <c r="A36" s="67" t="s">
        <v>98</v>
      </c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</row>
    <row r="37" spans="1:13" ht="21.75" customHeight="1" x14ac:dyDescent="0.25">
      <c r="A37" s="4" t="s">
        <v>22</v>
      </c>
      <c r="B37" s="4" t="s">
        <v>23</v>
      </c>
      <c r="C37" s="4" t="s">
        <v>24</v>
      </c>
      <c r="D37" s="4" t="s">
        <v>25</v>
      </c>
      <c r="E37" s="4" t="s">
        <v>26</v>
      </c>
      <c r="F37" s="4" t="s">
        <v>27</v>
      </c>
      <c r="G37" s="4" t="s">
        <v>28</v>
      </c>
      <c r="H37" s="4" t="s">
        <v>29</v>
      </c>
      <c r="I37" s="4" t="s">
        <v>30</v>
      </c>
      <c r="J37" s="4" t="s">
        <v>31</v>
      </c>
      <c r="K37" s="5" t="s">
        <v>32</v>
      </c>
      <c r="L37" s="4" t="s">
        <v>33</v>
      </c>
      <c r="M37" s="4" t="s">
        <v>34</v>
      </c>
    </row>
    <row r="38" spans="1:13" ht="18" customHeight="1" x14ac:dyDescent="0.25">
      <c r="A38" s="64" t="s">
        <v>35</v>
      </c>
      <c r="B38" s="64"/>
      <c r="C38" s="64"/>
      <c r="D38" s="64"/>
      <c r="E38" s="6" t="s">
        <v>38</v>
      </c>
      <c r="F38" s="6" t="s">
        <v>37</v>
      </c>
      <c r="G38" s="6" t="s">
        <v>93</v>
      </c>
      <c r="H38" s="6" t="s">
        <v>94</v>
      </c>
      <c r="I38" s="6" t="s">
        <v>40</v>
      </c>
      <c r="J38" s="6" t="s">
        <v>41</v>
      </c>
      <c r="K38" s="7"/>
      <c r="L38" s="65" t="s">
        <v>42</v>
      </c>
      <c r="M38" s="65"/>
    </row>
    <row r="39" spans="1:13" ht="18" customHeight="1" x14ac:dyDescent="0.25">
      <c r="A39" s="8" t="s">
        <v>80</v>
      </c>
      <c r="B39" s="9" t="s">
        <v>81</v>
      </c>
      <c r="C39" s="8" t="s">
        <v>45</v>
      </c>
      <c r="D39" s="10" t="s">
        <v>82</v>
      </c>
      <c r="E39" s="21"/>
      <c r="F39" s="11"/>
      <c r="G39" s="11"/>
      <c r="H39" s="21"/>
      <c r="I39" s="11"/>
      <c r="J39" s="11"/>
      <c r="K39" s="12">
        <f t="shared" ref="K39:K46" si="7">SUM(E39:J39)</f>
        <v>0</v>
      </c>
      <c r="L39" s="13"/>
      <c r="M39" s="14"/>
    </row>
    <row r="40" spans="1:13" ht="18" customHeight="1" x14ac:dyDescent="0.25">
      <c r="A40" s="15" t="s">
        <v>80</v>
      </c>
      <c r="B40" s="16" t="s">
        <v>81</v>
      </c>
      <c r="C40" s="15" t="s">
        <v>47</v>
      </c>
      <c r="D40" s="17" t="s">
        <v>82</v>
      </c>
      <c r="E40" s="18"/>
      <c r="F40" s="18"/>
      <c r="G40" s="18"/>
      <c r="H40" s="18"/>
      <c r="I40" s="18"/>
      <c r="J40" s="18"/>
      <c r="K40" s="12">
        <f t="shared" si="7"/>
        <v>0</v>
      </c>
      <c r="L40" s="19"/>
      <c r="M40" s="20"/>
    </row>
    <row r="41" spans="1:13" ht="18" customHeight="1" x14ac:dyDescent="0.25">
      <c r="A41" s="8" t="s">
        <v>80</v>
      </c>
      <c r="B41" s="9" t="s">
        <v>81</v>
      </c>
      <c r="C41" s="8" t="s">
        <v>48</v>
      </c>
      <c r="D41" s="10" t="s">
        <v>82</v>
      </c>
      <c r="E41" s="11"/>
      <c r="F41" s="11"/>
      <c r="G41" s="11"/>
      <c r="H41" s="11"/>
      <c r="I41" s="11"/>
      <c r="J41" s="11"/>
      <c r="K41" s="12">
        <f t="shared" si="7"/>
        <v>0</v>
      </c>
      <c r="L41" s="13"/>
      <c r="M41" s="14"/>
    </row>
    <row r="42" spans="1:13" ht="18" customHeight="1" x14ac:dyDescent="0.25">
      <c r="A42" s="15" t="s">
        <v>99</v>
      </c>
      <c r="B42" s="16" t="s">
        <v>100</v>
      </c>
      <c r="C42" s="15" t="s">
        <v>45</v>
      </c>
      <c r="D42" s="17" t="s">
        <v>101</v>
      </c>
      <c r="E42" s="18"/>
      <c r="F42" s="18"/>
      <c r="G42" s="18"/>
      <c r="H42" s="22"/>
      <c r="I42" s="18"/>
      <c r="J42" s="18"/>
      <c r="K42" s="12">
        <f t="shared" si="7"/>
        <v>0</v>
      </c>
      <c r="L42" s="19"/>
      <c r="M42" s="20"/>
    </row>
    <row r="43" spans="1:13" ht="18" customHeight="1" x14ac:dyDescent="0.25">
      <c r="A43" s="8" t="s">
        <v>99</v>
      </c>
      <c r="B43" s="9" t="s">
        <v>100</v>
      </c>
      <c r="C43" s="8" t="s">
        <v>47</v>
      </c>
      <c r="D43" s="10" t="s">
        <v>101</v>
      </c>
      <c r="E43" s="11"/>
      <c r="F43" s="11"/>
      <c r="G43" s="11"/>
      <c r="H43" s="11"/>
      <c r="I43" s="11"/>
      <c r="J43" s="11"/>
      <c r="K43" s="12">
        <f t="shared" si="7"/>
        <v>0</v>
      </c>
      <c r="L43" s="13"/>
      <c r="M43" s="14"/>
    </row>
    <row r="44" spans="1:13" ht="18" customHeight="1" x14ac:dyDescent="0.25">
      <c r="A44" s="15" t="s">
        <v>99</v>
      </c>
      <c r="B44" s="16" t="s">
        <v>100</v>
      </c>
      <c r="C44" s="15" t="s">
        <v>48</v>
      </c>
      <c r="D44" s="17" t="s">
        <v>101</v>
      </c>
      <c r="E44" s="22"/>
      <c r="F44" s="18"/>
      <c r="G44" s="18"/>
      <c r="H44" s="18"/>
      <c r="I44" s="18"/>
      <c r="J44" s="18"/>
      <c r="K44" s="12">
        <f t="shared" si="7"/>
        <v>0</v>
      </c>
      <c r="L44" s="19"/>
      <c r="M44" s="20"/>
    </row>
    <row r="45" spans="1:13" ht="18" customHeight="1" x14ac:dyDescent="0.25">
      <c r="A45" s="8" t="s">
        <v>102</v>
      </c>
      <c r="B45" s="9" t="s">
        <v>103</v>
      </c>
      <c r="C45" s="8" t="s">
        <v>104</v>
      </c>
      <c r="D45" s="10" t="s">
        <v>101</v>
      </c>
      <c r="E45" s="11"/>
      <c r="F45" s="11"/>
      <c r="G45" s="21"/>
      <c r="H45" s="11"/>
      <c r="I45" s="11"/>
      <c r="J45" s="11"/>
      <c r="K45" s="12">
        <f t="shared" si="7"/>
        <v>0</v>
      </c>
      <c r="L45" s="13"/>
      <c r="M45" s="14"/>
    </row>
    <row r="46" spans="1:13" ht="18" customHeight="1" x14ac:dyDescent="0.25">
      <c r="A46" s="23" t="s">
        <v>63</v>
      </c>
      <c r="B46" s="24" t="s">
        <v>63</v>
      </c>
      <c r="C46" s="23" t="s">
        <v>64</v>
      </c>
      <c r="D46" s="25" t="s">
        <v>64</v>
      </c>
      <c r="E46" s="26"/>
      <c r="F46" s="27"/>
      <c r="G46" s="27"/>
      <c r="H46" s="26"/>
      <c r="I46" s="27"/>
      <c r="J46" s="27"/>
      <c r="K46" s="12">
        <f t="shared" si="7"/>
        <v>0</v>
      </c>
      <c r="L46" s="28"/>
      <c r="M46" s="29"/>
    </row>
    <row r="47" spans="1:13" ht="19.5" customHeight="1" x14ac:dyDescent="0.25">
      <c r="A47" s="66" t="s">
        <v>86</v>
      </c>
      <c r="B47" s="66"/>
      <c r="C47" s="66"/>
      <c r="D47" s="66"/>
      <c r="E47" s="30">
        <f t="shared" ref="E47:K47" si="8">SUM(E39:E46)</f>
        <v>0</v>
      </c>
      <c r="F47" s="30">
        <f t="shared" si="8"/>
        <v>0</v>
      </c>
      <c r="G47" s="30">
        <f t="shared" si="8"/>
        <v>0</v>
      </c>
      <c r="H47" s="30">
        <f t="shared" si="8"/>
        <v>0</v>
      </c>
      <c r="I47" s="30">
        <f t="shared" si="8"/>
        <v>0</v>
      </c>
      <c r="J47" s="30">
        <f t="shared" si="8"/>
        <v>0</v>
      </c>
      <c r="K47" s="30">
        <f t="shared" si="8"/>
        <v>0</v>
      </c>
      <c r="L47" s="31"/>
      <c r="M47" s="31"/>
    </row>
    <row r="48" spans="1:13" ht="4.5" customHeight="1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</row>
    <row r="49" spans="1:13" ht="18" customHeight="1" x14ac:dyDescent="0.25">
      <c r="A49" s="55" t="s">
        <v>87</v>
      </c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</row>
    <row r="50" spans="1:13" ht="18" customHeight="1" x14ac:dyDescent="0.25">
      <c r="A50" s="63" t="s">
        <v>67</v>
      </c>
      <c r="B50" s="63"/>
      <c r="C50" s="63"/>
      <c r="D50" s="63"/>
      <c r="E50" s="32">
        <f t="shared" ref="E50:K50" si="9">E47</f>
        <v>0</v>
      </c>
      <c r="F50" s="32">
        <f t="shared" si="9"/>
        <v>0</v>
      </c>
      <c r="G50" s="32">
        <f t="shared" si="9"/>
        <v>0</v>
      </c>
      <c r="H50" s="32">
        <f t="shared" si="9"/>
        <v>0</v>
      </c>
      <c r="I50" s="32">
        <f t="shared" si="9"/>
        <v>0</v>
      </c>
      <c r="J50" s="32">
        <f t="shared" si="9"/>
        <v>0</v>
      </c>
      <c r="K50" s="32">
        <f t="shared" si="9"/>
        <v>0</v>
      </c>
      <c r="L50" s="33"/>
      <c r="M50" s="33"/>
    </row>
    <row r="51" spans="1:13" ht="18" customHeight="1" x14ac:dyDescent="0.25">
      <c r="A51" s="59" t="s">
        <v>68</v>
      </c>
      <c r="B51" s="59"/>
      <c r="C51" s="59"/>
      <c r="D51" s="59"/>
      <c r="E51" s="34">
        <v>0</v>
      </c>
      <c r="F51" s="34">
        <v>0</v>
      </c>
      <c r="G51" s="34">
        <v>0</v>
      </c>
      <c r="H51" s="34">
        <v>0</v>
      </c>
      <c r="I51" s="34">
        <v>0</v>
      </c>
      <c r="J51" s="34">
        <v>0</v>
      </c>
      <c r="K51" s="35">
        <f t="shared" ref="K51:K57" si="10">SUM(E51:J51)</f>
        <v>0</v>
      </c>
      <c r="L51" s="36"/>
      <c r="M51" s="36"/>
    </row>
    <row r="52" spans="1:13" ht="18" customHeight="1" x14ac:dyDescent="0.25">
      <c r="A52" s="59" t="s">
        <v>69</v>
      </c>
      <c r="B52" s="59"/>
      <c r="C52" s="59"/>
      <c r="D52" s="59"/>
      <c r="E52" s="37">
        <v>0</v>
      </c>
      <c r="F52" s="37">
        <v>0</v>
      </c>
      <c r="G52" s="37">
        <v>0</v>
      </c>
      <c r="H52" s="37">
        <v>0</v>
      </c>
      <c r="I52" s="37">
        <v>0</v>
      </c>
      <c r="J52" s="37">
        <v>0</v>
      </c>
      <c r="K52" s="38">
        <f t="shared" si="10"/>
        <v>0</v>
      </c>
      <c r="L52" s="36"/>
      <c r="M52" s="36"/>
    </row>
    <row r="53" spans="1:13" ht="18" customHeight="1" x14ac:dyDescent="0.25">
      <c r="A53" s="62" t="s">
        <v>70</v>
      </c>
      <c r="B53" s="62"/>
      <c r="C53" s="62"/>
      <c r="D53" s="62"/>
      <c r="E53" s="39">
        <f>SUMIFS(E39:E46,B39:B46,"BCA*")</f>
        <v>0</v>
      </c>
      <c r="F53" s="39">
        <f>SUMIFS(F39:F46,B39:B46,"BCA*")</f>
        <v>0</v>
      </c>
      <c r="G53" s="39">
        <f>SUMIFS(G39:G46,B39:B46,"BCA*")</f>
        <v>0</v>
      </c>
      <c r="H53" s="39">
        <f>SUMIFS(H39:H46,B39:B46,"BCA*")</f>
        <v>0</v>
      </c>
      <c r="I53" s="39">
        <f>SUMIFS(I39:I46,B39:B46,"BCA*")</f>
        <v>0</v>
      </c>
      <c r="J53" s="39">
        <f>SUMIFS(J39:J46,B39:B46,"BCA*")</f>
        <v>0</v>
      </c>
      <c r="K53" s="32">
        <f t="shared" si="10"/>
        <v>0</v>
      </c>
      <c r="L53" s="33"/>
      <c r="M53" s="33"/>
    </row>
    <row r="54" spans="1:13" ht="18" customHeight="1" x14ac:dyDescent="0.25">
      <c r="A54" s="62" t="s">
        <v>71</v>
      </c>
      <c r="B54" s="62"/>
      <c r="C54" s="62"/>
      <c r="D54" s="62"/>
      <c r="E54" s="39">
        <f>SUMIFS(E39:E46,B39:B46,"BNI*")</f>
        <v>0</v>
      </c>
      <c r="F54" s="39">
        <f>SUMIFS(F39:F46,B39:B46,"BNI*")</f>
        <v>0</v>
      </c>
      <c r="G54" s="39">
        <f>SUMIFS(G39:G46,B39:B46,"BNI*")</f>
        <v>0</v>
      </c>
      <c r="H54" s="39">
        <f>SUMIFS(H39:H46,B39:B46,"BNI*")</f>
        <v>0</v>
      </c>
      <c r="I54" s="39">
        <f>SUMIFS(I39:I46,B39:B46,"BNI*")</f>
        <v>0</v>
      </c>
      <c r="J54" s="39">
        <f>SUMIFS(J39:J46,B39:B46,"BNI*")</f>
        <v>0</v>
      </c>
      <c r="K54" s="32">
        <f t="shared" si="10"/>
        <v>0</v>
      </c>
      <c r="L54" s="33"/>
      <c r="M54" s="33"/>
    </row>
    <row r="55" spans="1:13" ht="18" customHeight="1" x14ac:dyDescent="0.25">
      <c r="A55" s="62" t="s">
        <v>72</v>
      </c>
      <c r="B55" s="62"/>
      <c r="C55" s="62"/>
      <c r="D55" s="62"/>
      <c r="E55" s="39">
        <f>SUMIFS(E39:E46,B39:B46,"BRI*")</f>
        <v>0</v>
      </c>
      <c r="F55" s="39">
        <f>SUMIFS(F39:F46,B39:B46,"BRI*")</f>
        <v>0</v>
      </c>
      <c r="G55" s="39">
        <f>SUMIFS(G39:G46,B39:B46,"BRI*")</f>
        <v>0</v>
      </c>
      <c r="H55" s="39">
        <f>SUMIFS(H39:H46,B39:B46,"BRI*")</f>
        <v>0</v>
      </c>
      <c r="I55" s="39">
        <f>SUMIFS(I39:I46,B39:B46,"BRI*")</f>
        <v>0</v>
      </c>
      <c r="J55" s="39">
        <f>SUMIFS(J39:J46,B39:B46,"BRI*")</f>
        <v>0</v>
      </c>
      <c r="K55" s="32">
        <f t="shared" si="10"/>
        <v>0</v>
      </c>
      <c r="L55" s="33"/>
      <c r="M55" s="33"/>
    </row>
    <row r="56" spans="1:13" ht="18" customHeight="1" x14ac:dyDescent="0.25">
      <c r="A56" s="62" t="s">
        <v>73</v>
      </c>
      <c r="B56" s="62"/>
      <c r="C56" s="62"/>
      <c r="D56" s="62"/>
      <c r="E56" s="39">
        <f>SUMIFS(E39:E46,B39:B46,"MANDIRI*")</f>
        <v>0</v>
      </c>
      <c r="F56" s="39">
        <f>SUMIFS(F39:F46,B39:B46,"MANDIRI*")</f>
        <v>0</v>
      </c>
      <c r="G56" s="39">
        <f>SUMIFS(G39:G46,B39:B46,"MANDIRI*")</f>
        <v>0</v>
      </c>
      <c r="H56" s="39">
        <f>SUMIFS(H39:H46,B39:B46,"MANDIRI*")</f>
        <v>0</v>
      </c>
      <c r="I56" s="39">
        <f>SUMIFS(I39:I46,B39:B46,"MANDIRI*")</f>
        <v>0</v>
      </c>
      <c r="J56" s="39">
        <f>SUMIFS(J39:J46,B39:B46,"MANDIRI*")</f>
        <v>0</v>
      </c>
      <c r="K56" s="32">
        <f t="shared" si="10"/>
        <v>0</v>
      </c>
      <c r="L56" s="33"/>
      <c r="M56" s="33"/>
    </row>
    <row r="57" spans="1:13" ht="18" customHeight="1" x14ac:dyDescent="0.25">
      <c r="A57" s="62" t="s">
        <v>74</v>
      </c>
      <c r="B57" s="62"/>
      <c r="C57" s="62"/>
      <c r="D57" s="62"/>
      <c r="E57" s="39">
        <f>SUMIFS(E39:E46,B39:B46,"VOUCHER*")</f>
        <v>0</v>
      </c>
      <c r="F57" s="39">
        <f>SUMIFS(F39:F46,B39:B46,"VOUCHER*")</f>
        <v>0</v>
      </c>
      <c r="G57" s="39">
        <f>SUMIFS(G39:G46,B39:B46,"VOUCHER*")</f>
        <v>0</v>
      </c>
      <c r="H57" s="39">
        <f>SUMIFS(H39:H46,B39:B46,"VOUCHER*")</f>
        <v>0</v>
      </c>
      <c r="I57" s="39">
        <f>SUMIFS(I39:I46,B39:B46,"VOUCHER*")</f>
        <v>0</v>
      </c>
      <c r="J57" s="39">
        <f>SUMIFS(J39:J46,B39:B46,"VOUCHER*")</f>
        <v>0</v>
      </c>
      <c r="K57" s="32">
        <f t="shared" si="10"/>
        <v>0</v>
      </c>
      <c r="L57" s="33"/>
      <c r="M57" s="33"/>
    </row>
    <row r="58" spans="1:13" ht="18" customHeight="1" x14ac:dyDescent="0.25">
      <c r="A58" s="63" t="s">
        <v>75</v>
      </c>
      <c r="B58" s="63"/>
      <c r="C58" s="63"/>
      <c r="D58" s="63"/>
      <c r="E58" s="32">
        <f t="shared" ref="E58:K58" si="11">E46</f>
        <v>0</v>
      </c>
      <c r="F58" s="32">
        <f t="shared" si="11"/>
        <v>0</v>
      </c>
      <c r="G58" s="32">
        <f t="shared" si="11"/>
        <v>0</v>
      </c>
      <c r="H58" s="32">
        <f t="shared" si="11"/>
        <v>0</v>
      </c>
      <c r="I58" s="32">
        <f t="shared" si="11"/>
        <v>0</v>
      </c>
      <c r="J58" s="32">
        <f t="shared" si="11"/>
        <v>0</v>
      </c>
      <c r="K58" s="32">
        <f t="shared" si="11"/>
        <v>0</v>
      </c>
      <c r="L58" s="33"/>
      <c r="M58" s="33"/>
    </row>
    <row r="59" spans="1:13" ht="19.5" customHeight="1" x14ac:dyDescent="0.25">
      <c r="A59" s="63" t="s">
        <v>76</v>
      </c>
      <c r="B59" s="63"/>
      <c r="C59" s="63"/>
      <c r="D59" s="63"/>
      <c r="E59" s="32">
        <f t="shared" ref="E59:K59" si="12">E53+E54+E55+E56+E57+E58</f>
        <v>0</v>
      </c>
      <c r="F59" s="32">
        <f t="shared" si="12"/>
        <v>0</v>
      </c>
      <c r="G59" s="32">
        <f t="shared" si="12"/>
        <v>0</v>
      </c>
      <c r="H59" s="32">
        <f t="shared" si="12"/>
        <v>0</v>
      </c>
      <c r="I59" s="32">
        <f t="shared" si="12"/>
        <v>0</v>
      </c>
      <c r="J59" s="32">
        <f t="shared" si="12"/>
        <v>0</v>
      </c>
      <c r="K59" s="32">
        <f t="shared" si="12"/>
        <v>0</v>
      </c>
      <c r="L59" s="33"/>
      <c r="M59" s="33"/>
    </row>
    <row r="60" spans="1:13" ht="19.5" customHeight="1" x14ac:dyDescent="0.25">
      <c r="A60" s="58" t="s">
        <v>77</v>
      </c>
      <c r="B60" s="58"/>
      <c r="C60" s="58"/>
      <c r="D60" s="58"/>
      <c r="E60" s="40">
        <f t="shared" ref="E60:K60" si="13">E51-E59</f>
        <v>0</v>
      </c>
      <c r="F60" s="40">
        <f t="shared" si="13"/>
        <v>0</v>
      </c>
      <c r="G60" s="40">
        <f t="shared" si="13"/>
        <v>0</v>
      </c>
      <c r="H60" s="40">
        <f t="shared" si="13"/>
        <v>0</v>
      </c>
      <c r="I60" s="40">
        <f t="shared" si="13"/>
        <v>0</v>
      </c>
      <c r="J60" s="40">
        <f t="shared" si="13"/>
        <v>0</v>
      </c>
      <c r="K60" s="40">
        <f t="shared" si="13"/>
        <v>0</v>
      </c>
      <c r="L60" s="41"/>
      <c r="M60" s="41"/>
    </row>
    <row r="61" spans="1:13" ht="18" customHeight="1" x14ac:dyDescent="0.25">
      <c r="A61" s="59" t="s">
        <v>78</v>
      </c>
      <c r="B61" s="59"/>
      <c r="C61" s="59"/>
      <c r="D61" s="59"/>
      <c r="E61" s="37">
        <v>0</v>
      </c>
      <c r="F61" s="37">
        <v>0</v>
      </c>
      <c r="G61" s="37">
        <v>0</v>
      </c>
      <c r="H61" s="37">
        <v>0</v>
      </c>
      <c r="I61" s="37">
        <v>0</v>
      </c>
      <c r="J61" s="37">
        <v>0</v>
      </c>
      <c r="K61" s="38">
        <f>SUM(E61:J61)</f>
        <v>0</v>
      </c>
      <c r="L61" s="36"/>
      <c r="M61" s="36"/>
    </row>
    <row r="62" spans="1:13" ht="4.5" customHeight="1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</row>
    <row r="63" spans="1:13" ht="25.5" customHeight="1" x14ac:dyDescent="0.25">
      <c r="A63" s="61" t="s">
        <v>88</v>
      </c>
      <c r="B63" s="61"/>
      <c r="C63" s="61"/>
      <c r="D63" s="61"/>
      <c r="E63" s="42">
        <f t="shared" ref="E63:K63" si="14">E23+E50</f>
        <v>0</v>
      </c>
      <c r="F63" s="42">
        <f t="shared" si="14"/>
        <v>0</v>
      </c>
      <c r="G63" s="42">
        <f t="shared" si="14"/>
        <v>0</v>
      </c>
      <c r="H63" s="42">
        <f t="shared" si="14"/>
        <v>0</v>
      </c>
      <c r="I63" s="42">
        <f t="shared" si="14"/>
        <v>0</v>
      </c>
      <c r="J63" s="42">
        <f t="shared" si="14"/>
        <v>0</v>
      </c>
      <c r="K63" s="42">
        <f t="shared" si="14"/>
        <v>0</v>
      </c>
      <c r="L63" s="43"/>
      <c r="M63" s="43"/>
    </row>
    <row r="64" spans="1:13" ht="4.5" customHeight="1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</row>
    <row r="65" spans="1:13" ht="18" customHeight="1" x14ac:dyDescent="0.25">
      <c r="A65" s="56" t="s">
        <v>89</v>
      </c>
      <c r="B65" s="56"/>
      <c r="C65" s="56"/>
      <c r="D65" s="56"/>
      <c r="E65" s="56"/>
      <c r="F65" s="56"/>
      <c r="H65" s="56" t="s">
        <v>90</v>
      </c>
      <c r="I65" s="56"/>
      <c r="J65" s="56"/>
      <c r="K65" s="56"/>
      <c r="L65" s="56"/>
      <c r="M65" s="56"/>
    </row>
    <row r="66" spans="1:13" ht="18" customHeight="1" x14ac:dyDescent="0.25">
      <c r="A66" s="57" t="s">
        <v>91</v>
      </c>
      <c r="B66" s="57"/>
      <c r="C66" s="57"/>
      <c r="D66" s="57"/>
      <c r="E66" s="57"/>
      <c r="F66" s="57"/>
      <c r="H66" s="57" t="s">
        <v>91</v>
      </c>
      <c r="I66" s="57"/>
      <c r="J66" s="57"/>
      <c r="K66" s="57"/>
      <c r="L66" s="57"/>
      <c r="M66" s="57"/>
    </row>
    <row r="67" spans="1:13" ht="39.75" customHeight="1" x14ac:dyDescent="0.25">
      <c r="A67" s="57" t="s">
        <v>92</v>
      </c>
      <c r="B67" s="57"/>
      <c r="C67" s="57"/>
      <c r="D67" s="57"/>
      <c r="E67" s="57"/>
      <c r="F67" s="57"/>
      <c r="H67" s="57" t="s">
        <v>92</v>
      </c>
      <c r="I67" s="57"/>
      <c r="J67" s="57"/>
      <c r="K67" s="57"/>
      <c r="L67" s="57"/>
      <c r="M67" s="57"/>
    </row>
  </sheetData>
  <mergeCells count="46">
    <mergeCell ref="A1:M1"/>
    <mergeCell ref="A3:D3"/>
    <mergeCell ref="L3:M3"/>
    <mergeCell ref="A20:D20"/>
    <mergeCell ref="A21:M21"/>
    <mergeCell ref="A22:M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M35"/>
    <mergeCell ref="A36:M36"/>
    <mergeCell ref="A38:D38"/>
    <mergeCell ref="L38:M38"/>
    <mergeCell ref="A47:D47"/>
    <mergeCell ref="A48:M48"/>
    <mergeCell ref="A49:M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M62"/>
    <mergeCell ref="A63:D63"/>
    <mergeCell ref="A64:M64"/>
    <mergeCell ref="A65:F65"/>
    <mergeCell ref="H65:M65"/>
    <mergeCell ref="A66:F66"/>
    <mergeCell ref="H66:M66"/>
    <mergeCell ref="A67:F67"/>
    <mergeCell ref="H67:M67"/>
  </mergeCells>
  <dataValidations count="2">
    <dataValidation type="list" allowBlank="1" showErrorMessage="1" errorTitle="Jenis Tidak Valid" error="Hanya: QR, DEBIT, KK" sqref="C1:C500" xr:uid="{00000000-0002-0000-0200-000000000000}">
      <formula1>"QR,DEBIT,KK,-"</formula1>
      <formula2>0</formula2>
    </dataValidation>
    <dataValidation type="list" allowBlank="1" showErrorMessage="1" errorTitle="Entitas Tidak Valid" error="Pilih dari daftar." sqref="D1:D500" xr:uid="{00000000-0002-0000-0200-000001000000}">
      <formula1>"PT CAHAYA MENTARI BERSINAR,CV BERKAT JAYA BAHAGIA,CV TUNAS MUDA KREASI,CV KARYA BERSAMA ANUGERAH,-"</formula1>
      <formula2>0</formula2>
    </dataValidation>
  </dataValidations>
  <pageMargins left="0.75" right="0.75" top="1" bottom="1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6"/>
  <sheetViews>
    <sheetView showGridLines="0" topLeftCell="A7" zoomScaleNormal="100" workbookViewId="0">
      <selection activeCell="H18" sqref="H18"/>
    </sheetView>
  </sheetViews>
  <sheetFormatPr defaultColWidth="8.7109375" defaultRowHeight="15" x14ac:dyDescent="0.25"/>
  <cols>
    <col min="1" max="1" width="14" style="1" customWidth="1"/>
    <col min="2" max="4" width="22" style="1" customWidth="1"/>
    <col min="5" max="5" width="50" style="1" customWidth="1"/>
  </cols>
  <sheetData>
    <row r="1" spans="1:5" ht="27.75" customHeight="1" x14ac:dyDescent="0.25">
      <c r="A1" s="54" t="s">
        <v>105</v>
      </c>
      <c r="B1" s="54"/>
      <c r="C1" s="54"/>
      <c r="D1" s="54"/>
      <c r="E1" s="54"/>
    </row>
    <row r="2" spans="1:5" ht="19.5" customHeight="1" x14ac:dyDescent="0.25">
      <c r="A2" s="44" t="s">
        <v>106</v>
      </c>
      <c r="B2" s="44" t="s">
        <v>107</v>
      </c>
      <c r="C2" s="44" t="s">
        <v>108</v>
      </c>
      <c r="D2" s="44" t="s">
        <v>109</v>
      </c>
      <c r="E2" s="44" t="s">
        <v>34</v>
      </c>
    </row>
    <row r="3" spans="1:5" ht="15" customHeight="1" x14ac:dyDescent="0.25">
      <c r="A3" s="45">
        <v>46082</v>
      </c>
      <c r="B3" s="46">
        <v>0</v>
      </c>
      <c r="C3" s="47">
        <v>0</v>
      </c>
      <c r="D3" s="48">
        <f t="shared" ref="D3:D33" si="0">B3+C3</f>
        <v>0</v>
      </c>
      <c r="E3" s="13"/>
    </row>
    <row r="4" spans="1:5" ht="15" customHeight="1" x14ac:dyDescent="0.25">
      <c r="A4" s="49">
        <v>46083</v>
      </c>
      <c r="B4" s="50">
        <f>IFERROR('31'!K78,0)</f>
        <v>0</v>
      </c>
      <c r="C4" s="47">
        <v>0</v>
      </c>
      <c r="D4" s="48">
        <f t="shared" si="0"/>
        <v>0</v>
      </c>
      <c r="E4" s="19"/>
    </row>
    <row r="5" spans="1:5" ht="15" customHeight="1" x14ac:dyDescent="0.25">
      <c r="A5" s="45">
        <v>46084</v>
      </c>
      <c r="B5" s="46">
        <f>IFERROR(#REF!,0)</f>
        <v>0</v>
      </c>
      <c r="C5" s="47">
        <v>0</v>
      </c>
      <c r="D5" s="48">
        <f t="shared" si="0"/>
        <v>0</v>
      </c>
      <c r="E5" s="13"/>
    </row>
    <row r="6" spans="1:5" ht="15" customHeight="1" x14ac:dyDescent="0.25">
      <c r="A6" s="49">
        <v>46085</v>
      </c>
      <c r="B6" s="50">
        <f>IFERROR('[1]04'!K78,0)</f>
        <v>0</v>
      </c>
      <c r="C6" s="47">
        <v>0</v>
      </c>
      <c r="D6" s="48">
        <f t="shared" si="0"/>
        <v>0</v>
      </c>
      <c r="E6" s="19"/>
    </row>
    <row r="7" spans="1:5" ht="15" customHeight="1" x14ac:dyDescent="0.25">
      <c r="A7" s="45">
        <v>46086</v>
      </c>
      <c r="B7" s="46">
        <f>IFERROR('[2]05'!K78,0)</f>
        <v>0</v>
      </c>
      <c r="C7" s="47">
        <v>0</v>
      </c>
      <c r="D7" s="48">
        <f t="shared" si="0"/>
        <v>0</v>
      </c>
      <c r="E7" s="13"/>
    </row>
    <row r="8" spans="1:5" ht="15" customHeight="1" x14ac:dyDescent="0.25">
      <c r="A8" s="49">
        <v>46087</v>
      </c>
      <c r="B8" s="50">
        <f>IFERROR('[3]06'!K78,0)</f>
        <v>0</v>
      </c>
      <c r="C8" s="47">
        <v>0</v>
      </c>
      <c r="D8" s="48">
        <f t="shared" si="0"/>
        <v>0</v>
      </c>
      <c r="E8" s="19"/>
    </row>
    <row r="9" spans="1:5" ht="15" customHeight="1" x14ac:dyDescent="0.25">
      <c r="A9" s="45">
        <v>46088</v>
      </c>
      <c r="B9" s="46">
        <f>IFERROR('[4]07'!K78,0)</f>
        <v>0</v>
      </c>
      <c r="C9" s="47">
        <v>0</v>
      </c>
      <c r="D9" s="48">
        <f t="shared" si="0"/>
        <v>0</v>
      </c>
      <c r="E9" s="13"/>
    </row>
    <row r="10" spans="1:5" ht="15" customHeight="1" x14ac:dyDescent="0.25">
      <c r="A10" s="49">
        <v>46089</v>
      </c>
      <c r="B10" s="50">
        <f>IFERROR('[5]08'!K78,0)</f>
        <v>0</v>
      </c>
      <c r="C10" s="47">
        <v>0</v>
      </c>
      <c r="D10" s="48">
        <f t="shared" si="0"/>
        <v>0</v>
      </c>
      <c r="E10" s="19"/>
    </row>
    <row r="11" spans="1:5" ht="15" customHeight="1" x14ac:dyDescent="0.25">
      <c r="A11" s="45">
        <v>46090</v>
      </c>
      <c r="B11" s="46">
        <f>IFERROR('[6]09'!K78,0)</f>
        <v>0</v>
      </c>
      <c r="C11" s="47">
        <v>0</v>
      </c>
      <c r="D11" s="48">
        <f t="shared" si="0"/>
        <v>0</v>
      </c>
      <c r="E11" s="13"/>
    </row>
    <row r="12" spans="1:5" ht="15" customHeight="1" x14ac:dyDescent="0.25">
      <c r="A12" s="49">
        <v>46091</v>
      </c>
      <c r="B12" s="50">
        <f>IFERROR('[7]10'!K78,0)</f>
        <v>0</v>
      </c>
      <c r="C12" s="47">
        <v>0</v>
      </c>
      <c r="D12" s="48">
        <f t="shared" si="0"/>
        <v>0</v>
      </c>
      <c r="E12" s="19"/>
    </row>
    <row r="13" spans="1:5" ht="15" customHeight="1" x14ac:dyDescent="0.25">
      <c r="A13" s="45">
        <v>46092</v>
      </c>
      <c r="B13" s="46">
        <f>IFERROR('[8]11'!K78,0)</f>
        <v>0</v>
      </c>
      <c r="C13" s="47">
        <v>0</v>
      </c>
      <c r="D13" s="48">
        <f t="shared" si="0"/>
        <v>0</v>
      </c>
      <c r="E13" s="13"/>
    </row>
    <row r="14" spans="1:5" ht="15" customHeight="1" x14ac:dyDescent="0.25">
      <c r="A14" s="49">
        <v>46093</v>
      </c>
      <c r="B14" s="50">
        <f>IFERROR('[9]12'!K78,0)</f>
        <v>0</v>
      </c>
      <c r="C14" s="47">
        <v>0</v>
      </c>
      <c r="D14" s="48">
        <f t="shared" si="0"/>
        <v>0</v>
      </c>
      <c r="E14" s="19"/>
    </row>
    <row r="15" spans="1:5" ht="15" customHeight="1" x14ac:dyDescent="0.25">
      <c r="A15" s="45">
        <v>46094</v>
      </c>
      <c r="B15" s="46">
        <f>IFERROR('[10]13'!K78,0)</f>
        <v>0</v>
      </c>
      <c r="C15" s="47">
        <v>0</v>
      </c>
      <c r="D15" s="48">
        <f t="shared" si="0"/>
        <v>0</v>
      </c>
      <c r="E15" s="13"/>
    </row>
    <row r="16" spans="1:5" ht="15" customHeight="1" x14ac:dyDescent="0.25">
      <c r="A16" s="49">
        <v>46095</v>
      </c>
      <c r="B16" s="50">
        <f>IFERROR('[11]14'!K78,0)</f>
        <v>0</v>
      </c>
      <c r="C16" s="47">
        <v>0</v>
      </c>
      <c r="D16" s="48">
        <f t="shared" si="0"/>
        <v>0</v>
      </c>
      <c r="E16" s="19"/>
    </row>
    <row r="17" spans="1:5" ht="15" customHeight="1" x14ac:dyDescent="0.25">
      <c r="A17" s="45">
        <v>46096</v>
      </c>
      <c r="B17" s="46">
        <f>IFERROR('[12]15'!K78,0)</f>
        <v>0</v>
      </c>
      <c r="C17" s="47">
        <v>0</v>
      </c>
      <c r="D17" s="48">
        <f t="shared" si="0"/>
        <v>0</v>
      </c>
      <c r="E17" s="13"/>
    </row>
    <row r="18" spans="1:5" ht="15" customHeight="1" x14ac:dyDescent="0.25">
      <c r="A18" s="49">
        <v>46097</v>
      </c>
      <c r="B18" s="50">
        <f>IFERROR('[13]16'!K78,0)</f>
        <v>0</v>
      </c>
      <c r="C18" s="47">
        <v>0</v>
      </c>
      <c r="D18" s="48">
        <f t="shared" si="0"/>
        <v>0</v>
      </c>
      <c r="E18" s="19"/>
    </row>
    <row r="19" spans="1:5" ht="15" customHeight="1" x14ac:dyDescent="0.25">
      <c r="A19" s="45">
        <v>46098</v>
      </c>
      <c r="B19" s="46">
        <f>IFERROR('[14]17'!K78,0)</f>
        <v>0</v>
      </c>
      <c r="C19" s="47">
        <v>0</v>
      </c>
      <c r="D19" s="48">
        <f t="shared" si="0"/>
        <v>0</v>
      </c>
      <c r="E19" s="13"/>
    </row>
    <row r="20" spans="1:5" ht="15" customHeight="1" x14ac:dyDescent="0.25">
      <c r="A20" s="49">
        <v>46099</v>
      </c>
      <c r="B20" s="50">
        <f>IFERROR('[15]18'!K78,0)</f>
        <v>0</v>
      </c>
      <c r="C20" s="47">
        <v>0</v>
      </c>
      <c r="D20" s="48">
        <f t="shared" si="0"/>
        <v>0</v>
      </c>
      <c r="E20" s="19"/>
    </row>
    <row r="21" spans="1:5" ht="15" customHeight="1" x14ac:dyDescent="0.25">
      <c r="A21" s="45">
        <v>46100</v>
      </c>
      <c r="B21" s="46">
        <f>IFERROR('[16]19'!K78,0)</f>
        <v>0</v>
      </c>
      <c r="C21" s="47">
        <v>0</v>
      </c>
      <c r="D21" s="48">
        <f t="shared" si="0"/>
        <v>0</v>
      </c>
      <c r="E21" s="13"/>
    </row>
    <row r="22" spans="1:5" ht="15" customHeight="1" x14ac:dyDescent="0.25">
      <c r="A22" s="49">
        <v>46101</v>
      </c>
      <c r="B22" s="50">
        <f>IFERROR('[17]20'!K78,0)</f>
        <v>0</v>
      </c>
      <c r="C22" s="47">
        <v>0</v>
      </c>
      <c r="D22" s="48">
        <f t="shared" si="0"/>
        <v>0</v>
      </c>
      <c r="E22" s="19"/>
    </row>
    <row r="23" spans="1:5" ht="15" customHeight="1" x14ac:dyDescent="0.25">
      <c r="A23" s="45">
        <v>46102</v>
      </c>
      <c r="B23" s="46">
        <f>IFERROR('[18]21'!K78,0)</f>
        <v>0</v>
      </c>
      <c r="C23" s="47">
        <v>0</v>
      </c>
      <c r="D23" s="48">
        <f t="shared" si="0"/>
        <v>0</v>
      </c>
      <c r="E23" s="13"/>
    </row>
    <row r="24" spans="1:5" ht="15" customHeight="1" x14ac:dyDescent="0.25">
      <c r="A24" s="49">
        <v>46103</v>
      </c>
      <c r="B24" s="50">
        <f>IFERROR('[19]22'!K78,0)</f>
        <v>0</v>
      </c>
      <c r="C24" s="47">
        <v>0</v>
      </c>
      <c r="D24" s="48">
        <f t="shared" si="0"/>
        <v>0</v>
      </c>
      <c r="E24" s="19"/>
    </row>
    <row r="25" spans="1:5" ht="15" customHeight="1" x14ac:dyDescent="0.25">
      <c r="A25" s="45">
        <v>46104</v>
      </c>
      <c r="B25" s="46">
        <f>IFERROR('[20]23'!K78,0)</f>
        <v>0</v>
      </c>
      <c r="C25" s="47">
        <v>0</v>
      </c>
      <c r="D25" s="48">
        <f t="shared" si="0"/>
        <v>0</v>
      </c>
      <c r="E25" s="13"/>
    </row>
    <row r="26" spans="1:5" ht="15" customHeight="1" x14ac:dyDescent="0.25">
      <c r="A26" s="49">
        <v>46105</v>
      </c>
      <c r="B26" s="50">
        <f>IFERROR('[21]24'!K78,0)</f>
        <v>0</v>
      </c>
      <c r="C26" s="47">
        <v>0</v>
      </c>
      <c r="D26" s="48">
        <f t="shared" si="0"/>
        <v>0</v>
      </c>
      <c r="E26" s="19"/>
    </row>
    <row r="27" spans="1:5" ht="15" customHeight="1" x14ac:dyDescent="0.25">
      <c r="A27" s="45">
        <v>46106</v>
      </c>
      <c r="B27" s="46">
        <f>IFERROR('[22]25'!K78,0)</f>
        <v>0</v>
      </c>
      <c r="C27" s="47">
        <v>0</v>
      </c>
      <c r="D27" s="48">
        <f t="shared" si="0"/>
        <v>0</v>
      </c>
      <c r="E27" s="13"/>
    </row>
    <row r="28" spans="1:5" ht="15" customHeight="1" x14ac:dyDescent="0.25">
      <c r="A28" s="49">
        <v>46107</v>
      </c>
      <c r="B28" s="50">
        <f>IFERROR('[23]26'!K78,0)</f>
        <v>0</v>
      </c>
      <c r="C28" s="47">
        <v>0</v>
      </c>
      <c r="D28" s="48">
        <f t="shared" si="0"/>
        <v>0</v>
      </c>
      <c r="E28" s="19"/>
    </row>
    <row r="29" spans="1:5" ht="15" customHeight="1" x14ac:dyDescent="0.25">
      <c r="A29" s="45">
        <v>46108</v>
      </c>
      <c r="B29" s="46">
        <f>IFERROR('[24]27'!K78,0)</f>
        <v>0</v>
      </c>
      <c r="C29" s="47">
        <v>0</v>
      </c>
      <c r="D29" s="48">
        <f t="shared" si="0"/>
        <v>0</v>
      </c>
      <c r="E29" s="13"/>
    </row>
    <row r="30" spans="1:5" ht="15" customHeight="1" x14ac:dyDescent="0.25">
      <c r="A30" s="49">
        <v>46109</v>
      </c>
      <c r="B30" s="50">
        <f>IFERROR('[25]28'!K78,0)</f>
        <v>0</v>
      </c>
      <c r="C30" s="47">
        <v>0</v>
      </c>
      <c r="D30" s="48">
        <f t="shared" si="0"/>
        <v>0</v>
      </c>
      <c r="E30" s="19"/>
    </row>
    <row r="31" spans="1:5" ht="15" customHeight="1" x14ac:dyDescent="0.25">
      <c r="A31" s="45">
        <v>46110</v>
      </c>
      <c r="B31" s="46">
        <v>207921908</v>
      </c>
      <c r="C31" s="47">
        <v>0</v>
      </c>
      <c r="D31" s="48">
        <f t="shared" si="0"/>
        <v>207921908</v>
      </c>
      <c r="E31" s="13"/>
    </row>
    <row r="32" spans="1:5" ht="15" customHeight="1" x14ac:dyDescent="0.25">
      <c r="A32" s="49">
        <v>46111</v>
      </c>
      <c r="B32" s="50">
        <f>IFERROR('[26]30'!K78,0)</f>
        <v>0</v>
      </c>
      <c r="C32" s="47">
        <v>0</v>
      </c>
      <c r="D32" s="48">
        <f t="shared" si="0"/>
        <v>0</v>
      </c>
      <c r="E32" s="19"/>
    </row>
    <row r="33" spans="1:5" ht="15" customHeight="1" x14ac:dyDescent="0.25">
      <c r="A33" s="45">
        <v>46112</v>
      </c>
      <c r="B33" s="46">
        <f>IFERROR('[27]31'!K78,0)</f>
        <v>0</v>
      </c>
      <c r="C33" s="47">
        <v>0</v>
      </c>
      <c r="D33" s="48">
        <f t="shared" si="0"/>
        <v>0</v>
      </c>
      <c r="E33" s="13"/>
    </row>
    <row r="34" spans="1:5" ht="21.75" customHeight="1" x14ac:dyDescent="0.25">
      <c r="A34" s="51" t="s">
        <v>110</v>
      </c>
      <c r="B34" s="52">
        <f>SUM(B3:B33)</f>
        <v>207921908</v>
      </c>
      <c r="C34" s="52">
        <f>SUM(C3:C33)</f>
        <v>0</v>
      </c>
      <c r="D34" s="52">
        <f>SUM(D3:D33)</f>
        <v>207921908</v>
      </c>
      <c r="E34" s="53"/>
    </row>
    <row r="36" spans="1:5" ht="15" customHeight="1" x14ac:dyDescent="0.25">
      <c r="A36" s="68" t="s">
        <v>111</v>
      </c>
      <c r="B36" s="68"/>
      <c r="C36" s="68"/>
      <c r="D36" s="68"/>
      <c r="E36" s="68"/>
    </row>
  </sheetData>
  <mergeCells count="2">
    <mergeCell ref="A1:E1"/>
    <mergeCell ref="A36:E3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PETUNJUK</vt:lpstr>
      <vt:lpstr>29</vt:lpstr>
      <vt:lpstr>30</vt:lpstr>
      <vt:lpstr>31</vt:lpstr>
      <vt:lpstr>REKAP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ITCANNA</cp:lastModifiedBy>
  <cp:revision>0</cp:revision>
  <dcterms:created xsi:type="dcterms:W3CDTF">2026-03-13T11:14:21Z</dcterms:created>
  <dcterms:modified xsi:type="dcterms:W3CDTF">2026-03-30T05:08:45Z</dcterms:modified>
  <dc:language>en-US</dc:language>
</cp:coreProperties>
</file>