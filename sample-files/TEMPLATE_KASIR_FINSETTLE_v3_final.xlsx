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TUNJUK" sheetId="1" state="visible" r:id="rId3"/>
    <sheet name="01" sheetId="2" state="visible" r:id="rId4"/>
    <sheet name="02" sheetId="3" state="visible" r:id="rId5"/>
    <sheet name="03" sheetId="4" state="visible" r:id="rId6"/>
    <sheet name="REKAP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<sst xmlns="http://schemas.openxmlformats.org/spreadsheetml/2006/main" count="645" uniqueCount="166">
  <si>
    <t xml:space="preserve">PETUNJUK PENGISIAN — LAPORAN KASIR HARIAN  (FinSettle v3)</t>
  </si>
  <si>
    <t xml:space="preserve">  KOLOM POS (E–J) = STASIUN FISIK, BUKAN NAMA ORANG</t>
  </si>
  <si>
    <t xml:space="preserve">6 slot POS tetap, tidak pernah berubah</t>
  </si>
  <si>
    <t xml:space="preserve">E=POS 1 PAGI | F=POS 2 PAGI | G=CLIFF | H=POS 1 SORE | I=POS 2 SORE | J=POS TAMBAHAN
Formula TOTAL selalu =SUM(E:J). Tambah/kurang kasir → cukup ubah nama di baris kuning header.</t>
  </si>
  <si>
    <t xml:space="preserve">  BAGIAN RINGKASAN KASIR (bawah setiap tabel data)</t>
  </si>
  <si>
    <t xml:space="preserve">TOTAL DI REKAP QUINOS — INPUT MANUAL</t>
  </si>
  <si>
    <t xml:space="preserve">Diisi oleh kepala kasir dari laporan Quinos POS. Satu kolom per POS.
Ini adalah angka EKSPEKTASI dari sistem POS, bukan perhitungan Excel.</t>
  </si>
  <si>
    <t xml:space="preserve">TOTAL DI SETTLEMENT BANK — INPUT MANUAL</t>
  </si>
  <si>
    <t xml:space="preserve">Jumlah transaksi settlement (angka bulat, bukan Rupiah). Diisi per kolom POS.</t>
  </si>
  <si>
    <t xml:space="preserve">TOTAL BILL — INPUT MANUAL</t>
  </si>
  <si>
    <t xml:space="preserve">Jumlah struk/bill yang diproses per kasir. Angka bulat.</t>
  </si>
  <si>
    <t xml:space="preserve">SELISIH — FORMULA OTOMATIS</t>
  </si>
  <si>
    <t xml:space="preserve">TOTAL DI REKAP QUINOS dikurangi TOTAL PAYMENT. Harus = 0. Jika tidak nol, ada perbedaan yang harus diselidiki.</t>
  </si>
  <si>
    <t xml:space="preserve">Breakdown bank (BCA/BNI/BRI/MANDIRI/VOUCHER) — FORMULA OTOMATIS</t>
  </si>
  <si>
    <t xml:space="preserve">Dihitung dengan SUMIFS dari data di atas. Tidak perlu diedit.
Formula menggunakan kolom POS yang tetap, sehingga tidak berubah meski jumlah kasir berubah.</t>
  </si>
  <si>
    <t xml:space="preserve">  ATURAN INPUT</t>
  </si>
  <si>
    <t xml:space="preserve">Kolom E–J: angka Rupiah bulat saja</t>
  </si>
  <si>
    <t xml:space="preserve">Contoh benar: 1766700. Salah: 1.766.700 | =1000000+766700</t>
  </si>
  <si>
    <t xml:space="preserve">Kolom K (TOTAL): jangan diedit</t>
  </si>
  <si>
    <t xml:space="preserve">Formula =SUM(E:J) terpasang otomatis.</t>
  </si>
  <si>
    <t xml:space="preserve">Baris nama kasir (kuning): ganti nama setiap hari</t>
  </si>
  <si>
    <t xml:space="preserve">Ubah nama di baris header kuning sesuai kasir yang bertugas hari itu.</t>
  </si>
  <si>
    <t xml:space="preserve">  01 MARET 2026  ·  BLOK REG  ·  PT CAHAYA MENTARI BERSINAR</t>
  </si>
  <si>
    <t xml:space="preserve">KODE EDC</t>
  </si>
  <si>
    <t xml:space="preserve">NAMA BANK / TERMINAL</t>
  </si>
  <si>
    <t xml:space="preserve">JENIS</t>
  </si>
  <si>
    <t xml:space="preserve">ENTITAS</t>
  </si>
  <si>
    <t xml:space="preserve">POS 1 PAGI</t>
  </si>
  <si>
    <t xml:space="preserve">POS 2 PAGI</t>
  </si>
  <si>
    <t xml:space="preserve">CLIFF</t>
  </si>
  <si>
    <t xml:space="preserve">POS 1 SORE</t>
  </si>
  <si>
    <t xml:space="preserve">POS 2 SORE</t>
  </si>
  <si>
    <t xml:space="preserve">POS TAMBAHAN</t>
  </si>
  <si>
    <t xml:space="preserve">TOTAL</t>
  </si>
  <si>
    <t xml:space="preserve">NOTA BILL</t>
  </si>
  <si>
    <t xml:space="preserve">CATATAN</t>
  </si>
  <si>
    <t xml:space="preserve">↑ KASIR BERTUGAS:</t>
  </si>
  <si>
    <t xml:space="preserve">SINAR</t>
  </si>
  <si>
    <t xml:space="preserve">MEI</t>
  </si>
  <si>
    <t xml:space="preserve">MITA</t>
  </si>
  <si>
    <t xml:space="preserve">RINDA</t>
  </si>
  <si>
    <t xml:space="preserve">DION</t>
  </si>
  <si>
    <t xml:space="preserve">—</t>
  </si>
  <si>
    <t xml:space="preserve">← Ganti nama kasir di baris ini setiap hari</t>
  </si>
  <si>
    <t xml:space="preserve">2995</t>
  </si>
  <si>
    <t xml:space="preserve">BCA C2AP2381</t>
  </si>
  <si>
    <t xml:space="preserve">QR</t>
  </si>
  <si>
    <t xml:space="preserve">PT CAHAYA MENTARI BERSINAR</t>
  </si>
  <si>
    <t xml:space="preserve">DEBIT</t>
  </si>
  <si>
    <t xml:space="preserve">KK</t>
  </si>
  <si>
    <t xml:space="preserve">058631</t>
  </si>
  <si>
    <t xml:space="preserve">BCA C2BB8572</t>
  </si>
  <si>
    <t xml:space="preserve">058616,058613</t>
  </si>
  <si>
    <t xml:space="preserve">3029</t>
  </si>
  <si>
    <t xml:space="preserve">BCA C2CT1910</t>
  </si>
  <si>
    <t xml:space="preserve">058630</t>
  </si>
  <si>
    <t xml:space="preserve">7-8774</t>
  </si>
  <si>
    <t xml:space="preserve">MANDIRI 82266801</t>
  </si>
  <si>
    <t xml:space="preserve">058627,058628</t>
  </si>
  <si>
    <t xml:space="preserve">MANDIRI 82032222</t>
  </si>
  <si>
    <t xml:space="preserve">058622</t>
  </si>
  <si>
    <t xml:space="preserve">058625</t>
  </si>
  <si>
    <t xml:space="preserve">058623,058624,058621</t>
  </si>
  <si>
    <t xml:space="preserve">MANDIRI 82032224</t>
  </si>
  <si>
    <t xml:space="preserve">058630,058621</t>
  </si>
  <si>
    <t xml:space="preserve">4670</t>
  </si>
  <si>
    <t xml:space="preserve">BNI 08388049</t>
  </si>
  <si>
    <t xml:space="preserve">058633</t>
  </si>
  <si>
    <t xml:space="preserve">058629,058636</t>
  </si>
  <si>
    <t xml:space="preserve">058634,058626</t>
  </si>
  <si>
    <t xml:space="preserve">BNI 08388047</t>
  </si>
  <si>
    <t xml:space="preserve">058617</t>
  </si>
  <si>
    <t xml:space="preserve">9303</t>
  </si>
  <si>
    <t xml:space="preserve">BRI 10836386</t>
  </si>
  <si>
    <t xml:space="preserve">058615</t>
  </si>
  <si>
    <t xml:space="preserve">BRI 10690516</t>
  </si>
  <si>
    <t xml:space="preserve">058614,058612</t>
  </si>
  <si>
    <t xml:space="preserve">VOUCHER KLOOK</t>
  </si>
  <si>
    <t xml:space="preserve">058618</t>
  </si>
  <si>
    <t xml:space="preserve">CASH</t>
  </si>
  <si>
    <t xml:space="preserve">-</t>
  </si>
  <si>
    <t xml:space="preserve">058609,058607,058606,058608</t>
  </si>
  <si>
    <t xml:space="preserve">  SUBTOTAL — REG</t>
  </si>
  <si>
    <t xml:space="preserve">  RINGKASAN KASIR — REG   (baris KUNING = input manual | baris HIJAU = formula otomatis)</t>
  </si>
  <si>
    <t xml:space="preserve">  TOTAL SALES (EDC + CASH)</t>
  </si>
  <si>
    <t xml:space="preserve">  TOTAL DI REKAP QUINOS  ← input dari sistem POS</t>
  </si>
  <si>
    <t xml:space="preserve">  TOTAL DI SETTLEMENT BANK  ← jumlah transaksi (bukan Rp)</t>
  </si>
  <si>
    <t xml:space="preserve">    BCA</t>
  </si>
  <si>
    <t xml:space="preserve">    BNI</t>
  </si>
  <si>
    <t xml:space="preserve">    BRI</t>
  </si>
  <si>
    <t xml:space="preserve">    MANDIRI</t>
  </si>
  <si>
    <t xml:space="preserve">    VOUCHER</t>
  </si>
  <si>
    <t xml:space="preserve">  TOTAL CASH</t>
  </si>
  <si>
    <t xml:space="preserve">  TOTAL PAYMENT (bank + cash)</t>
  </si>
  <si>
    <t xml:space="preserve">  SELISIH  (harus = 0, jika tidak nol → ada perbedaan)</t>
  </si>
  <si>
    <t xml:space="preserve">  TOTAL BILL  ← jumlah struk per kasir (angka bulat)</t>
  </si>
  <si>
    <t xml:space="preserve">  01 MARET 2026  ·  BLOK EV  ·  Lihat kolom ENTITAS per baris</t>
  </si>
  <si>
    <t xml:space="preserve">8824</t>
  </si>
  <si>
    <t xml:space="preserve">BNI 08190203</t>
  </si>
  <si>
    <t xml:space="preserve">CV BERKAT JAYA BAHAGIA</t>
  </si>
  <si>
    <t xml:space="preserve">012421</t>
  </si>
  <si>
    <t xml:space="preserve">22-87</t>
  </si>
  <si>
    <t xml:space="preserve">BNI 08190703</t>
  </si>
  <si>
    <t xml:space="preserve">CV TUNAS MUDA KREASI</t>
  </si>
  <si>
    <t xml:space="preserve">012418</t>
  </si>
  <si>
    <t xml:space="preserve">PRIOR_PERIOD | 28-Feb-2026 | 990000</t>
  </si>
  <si>
    <t xml:space="preserve">012415,012417,012420</t>
  </si>
  <si>
    <t xml:space="preserve">  SUBTOTAL — EV</t>
  </si>
  <si>
    <t xml:space="preserve">  RINGKASAN KASIR — EV   (baris KUNING = input manual | baris HIJAU = formula otomatis)</t>
  </si>
  <si>
    <t xml:space="preserve">  GRAND TOTAL HARIAN (REG + EV)</t>
  </si>
  <si>
    <t xml:space="preserve">Dibuat oleh (Kasir):</t>
  </si>
  <si>
    <t xml:space="preserve">Diperiksa oleh (Kepala Kasir):</t>
  </si>
  <si>
    <t xml:space="preserve">Nama  : ___________________________</t>
  </si>
  <si>
    <t xml:space="preserve">TTD   :</t>
  </si>
  <si>
    <t xml:space="preserve">  02 MARET 2026  ·  BLOK REG  ·  PT CAHAYA MENTARI BERSINAR</t>
  </si>
  <si>
    <t xml:space="preserve">BAYU</t>
  </si>
  <si>
    <t xml:space="preserve">ERAWATI</t>
  </si>
  <si>
    <t xml:space="preserve">BCA C2AP2384</t>
  </si>
  <si>
    <t xml:space="preserve">058637</t>
  </si>
  <si>
    <t xml:space="preserve">MANDIRI 82032223</t>
  </si>
  <si>
    <t xml:space="preserve">058639</t>
  </si>
  <si>
    <t xml:space="preserve">BRI 10836385</t>
  </si>
  <si>
    <t xml:space="preserve">058654,058648,058655,058653</t>
  </si>
  <si>
    <t xml:space="preserve">058650</t>
  </si>
  <si>
    <t xml:space="preserve">058651,058647</t>
  </si>
  <si>
    <t xml:space="preserve">058638,058643,058652</t>
  </si>
  <si>
    <t xml:space="preserve">  02 MARET 2026  ·  BLOK EV  ·  Lihat kolom ENTITAS per baris</t>
  </si>
  <si>
    <t xml:space="preserve">012424,012423,012431</t>
  </si>
  <si>
    <t xml:space="preserve">PRIOR_PERIOD | 28-Feb-2026 | 1350000</t>
  </si>
  <si>
    <t xml:space="preserve">7308</t>
  </si>
  <si>
    <t xml:space="preserve">BRI 10652400</t>
  </si>
  <si>
    <t xml:space="preserve">CV KARYA BERSAMA ANUGERAH</t>
  </si>
  <si>
    <t xml:space="preserve">012430</t>
  </si>
  <si>
    <t xml:space="preserve">012426</t>
  </si>
  <si>
    <t xml:space="preserve">0302</t>
  </si>
  <si>
    <t xml:space="preserve">BRI TRANSFER 055601002000302</t>
  </si>
  <si>
    <t xml:space="preserve">TRANSFER</t>
  </si>
  <si>
    <t xml:space="preserve">012434</t>
  </si>
  <si>
    <t xml:space="preserve">PBB / JUNG JIN AH 03/03</t>
  </si>
  <si>
    <t xml:space="preserve">012428,012425,012432,012435</t>
  </si>
  <si>
    <t xml:space="preserve">  03 MARET 2026  ·  BLOK REG  ·  PT CAHAYA MENTARI BERSINAR</t>
  </si>
  <si>
    <t xml:space="preserve">KARINA</t>
  </si>
  <si>
    <t xml:space="preserve">058684</t>
  </si>
  <si>
    <t xml:space="preserve">058687,058688,058682</t>
  </si>
  <si>
    <t xml:space="preserve">BCA C2AP2382</t>
  </si>
  <si>
    <t xml:space="preserve">058688,058684</t>
  </si>
  <si>
    <t xml:space="preserve">058678,058682,058676</t>
  </si>
  <si>
    <t xml:space="preserve">058662,058672</t>
  </si>
  <si>
    <t xml:space="preserve">058665,058668,058673</t>
  </si>
  <si>
    <t xml:space="preserve">058694,058685,058692</t>
  </si>
  <si>
    <t xml:space="preserve">058657,058663,058664</t>
  </si>
  <si>
    <t xml:space="preserve">  03 MARET 2026  ·  BLOK EV  ·  Lihat kolom ENTITAS per baris</t>
  </si>
  <si>
    <t xml:space="preserve">012439</t>
  </si>
  <si>
    <t xml:space="preserve">PRIOR_PERIOD | 28-Feb-2026 | 840000</t>
  </si>
  <si>
    <t xml:space="preserve">012437</t>
  </si>
  <si>
    <t xml:space="preserve">2304</t>
  </si>
  <si>
    <t xml:space="preserve">BRI 10742131</t>
  </si>
  <si>
    <t xml:space="preserve">012438</t>
  </si>
  <si>
    <t xml:space="preserve">012440,012436</t>
  </si>
  <si>
    <t xml:space="preserve">REKAP BULANAN — MARET 2026</t>
  </si>
  <si>
    <t xml:space="preserve">TANGGAL</t>
  </si>
  <si>
    <t xml:space="preserve">GRAND TOTAL (REG+EV)</t>
  </si>
  <si>
    <t xml:space="preserve">KOREKSI PRIOR PERIOD</t>
  </si>
  <si>
    <t xml:space="preserve">NETO</t>
  </si>
  <si>
    <t xml:space="preserve">TOTAL BULAN</t>
  </si>
  <si>
    <t xml:space="preserve">  Legenda:  Latar KUNING = input manual  |  Latar HIJAU = formula otomatis  |  TOTAL formula selalu =SUM(E:J), tidak berubah meski jumlah kasir berubah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</si>
</sst>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General"/>
    <numFmt numFmtId="167" formatCode="dd\-mmm\-yyyy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E3A5F"/>
      <name val="Arial"/>
      <family val="0"/>
      <charset val="1"/>
    </font>
    <font>
      <sz val="9"/>
      <color rgb="FF37415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i val="true"/>
      <sz val="8"/>
      <color rgb="FFD97706"/>
      <name val="Arial"/>
      <family val="0"/>
      <charset val="1"/>
    </font>
    <font>
      <sz val="10"/>
      <color rgb="FF000000"/>
      <name val="Arial"/>
      <family val="0"/>
      <charset val="1"/>
    </font>
    <font>
      <sz val="8"/>
      <color rgb="FF374151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10"/>
      <color rgb="FF0F766E"/>
      <name val="Arial"/>
      <family val="0"/>
      <charset val="1"/>
    </font>
    <font>
      <sz val="8"/>
      <color rgb="FF6B7280"/>
      <name val="Arial"/>
      <family val="0"/>
      <charset val="1"/>
    </font>
    <font>
      <i val="true"/>
      <sz val="8"/>
      <color rgb="FF6B7280"/>
      <name val="Arial"/>
      <family val="0"/>
      <charset val="1"/>
    </font>
    <font>
      <sz val="10"/>
      <color rgb="FF000080"/>
      <name val="Arial"/>
      <family val="0"/>
      <charset val="1"/>
    </font>
    <font>
      <b val="true"/>
      <sz val="9"/>
      <color rgb="FF065F46"/>
      <name val="Arial"/>
      <family val="0"/>
      <charset val="1"/>
    </font>
    <font>
      <b val="true"/>
      <sz val="10"/>
      <color rgb="FF065F46"/>
      <name val="Arial"/>
      <family val="0"/>
      <charset val="1"/>
    </font>
    <font>
      <b val="true"/>
      <sz val="9"/>
      <color rgb="FFD97706"/>
      <name val="Arial"/>
      <family val="0"/>
      <charset val="1"/>
    </font>
    <font>
      <sz val="10"/>
      <color rgb="FF0000CD"/>
      <name val="Arial"/>
      <family val="0"/>
      <charset val="1"/>
    </font>
    <font>
      <b val="true"/>
      <sz val="10"/>
      <color rgb="FFD97706"/>
      <name val="Arial"/>
      <family val="0"/>
      <charset val="1"/>
    </font>
    <font>
      <sz val="9"/>
      <color rgb="FF1E3A5F"/>
      <name val="Arial"/>
      <family val="0"/>
      <charset val="1"/>
    </font>
    <font>
      <sz val="10"/>
      <color rgb="FF065F46"/>
      <name val="Arial"/>
      <family val="0"/>
      <charset val="1"/>
    </font>
    <font>
      <b val="true"/>
      <sz val="9"/>
      <color rgb="FF991B1B"/>
      <name val="Arial"/>
      <family val="0"/>
      <charset val="1"/>
    </font>
    <font>
      <b val="true"/>
      <sz val="10"/>
      <color rgb="FF991B1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9"/>
      <color rgb="FF1B2A4A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color rgb="FF0F766E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B2A4A"/>
        <bgColor rgb="FF1E3A5F"/>
      </patternFill>
    </fill>
    <fill>
      <patternFill patternType="solid">
        <fgColor rgb="FF374151"/>
        <bgColor rgb="FF1E3A5F"/>
      </patternFill>
    </fill>
    <fill>
      <patternFill patternType="solid">
        <fgColor rgb="FFDBEAFE"/>
        <bgColor rgb="FFE5E7EB"/>
      </patternFill>
    </fill>
    <fill>
      <patternFill patternType="solid">
        <fgColor rgb="FFFFFFFF"/>
        <bgColor rgb="FFF3F4F6"/>
      </patternFill>
    </fill>
    <fill>
      <patternFill patternType="solid">
        <fgColor rgb="FF2563EB"/>
        <bgColor rgb="FF0066CC"/>
      </patternFill>
    </fill>
    <fill>
      <patternFill patternType="solid">
        <fgColor rgb="FF0F766E"/>
        <bgColor rgb="FF065F46"/>
      </patternFill>
    </fill>
    <fill>
      <patternFill patternType="solid">
        <fgColor rgb="FFFEF3C7"/>
        <bgColor rgb="FFFEE2E2"/>
      </patternFill>
    </fill>
    <fill>
      <patternFill patternType="solid">
        <fgColor rgb="FFCCFBF1"/>
        <bgColor rgb="FFDCFCE7"/>
      </patternFill>
    </fill>
    <fill>
      <patternFill patternType="solid">
        <fgColor rgb="FFF3F4F6"/>
        <bgColor rgb="FFFFFFFF"/>
      </patternFill>
    </fill>
    <fill>
      <patternFill patternType="solid">
        <fgColor rgb="FFE5E7EB"/>
        <bgColor rgb="FFDBEAFE"/>
      </patternFill>
    </fill>
    <fill>
      <patternFill patternType="solid">
        <fgColor rgb="FFDCFCE7"/>
        <bgColor rgb="FFCCFBF1"/>
      </patternFill>
    </fill>
    <fill>
      <patternFill patternType="solid">
        <fgColor rgb="FFFEE2E2"/>
        <bgColor rgb="FFE5E7EB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/>
      <top style="thin">
        <color rgb="FFD1D5DB"/>
      </top>
      <bottom style="thin">
        <color rgb="FFD1D5DB"/>
      </bottom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 diagonalUp="false" diagonalDown="false"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 diagonalUp="false" diagonalDown="false">
      <left style="thin">
        <color rgb="FF0F766E"/>
      </left>
      <right style="thin">
        <color rgb="FF0F766E"/>
      </right>
      <top style="thin">
        <color rgb="FF0F766E"/>
      </top>
      <bottom style="thin">
        <color rgb="FF0F766E"/>
      </bottom>
      <diagonal/>
    </border>
    <border diagonalUp="false" diagonalDown="false">
      <left style="thin">
        <color rgb="FF991B1B"/>
      </left>
      <right style="thin">
        <color rgb="FF991B1B"/>
      </right>
      <top style="thin">
        <color rgb="FF991B1B"/>
      </top>
      <bottom style="thin">
        <color rgb="FF991B1B"/>
      </bottom>
      <diagonal/>
    </border>
    <border diagonalUp="false" diagonalDown="false">
      <left style="thin">
        <color rgb="FF1B2A4A"/>
      </left>
      <right style="thin">
        <color rgb="FF1B2A4A"/>
      </right>
      <top style="thin">
        <color rgb="FF1B2A4A"/>
      </top>
      <bottom style="thin">
        <color rgb="FF1B2A4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7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7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7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7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7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9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1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2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8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2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4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6" fillId="13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3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7" fillId="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9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30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31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9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6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E5E7EB"/>
      <rgbColor rgb="FF808080"/>
      <rgbColor rgb="FF9999FF"/>
      <rgbColor rgb="FF993366"/>
      <rgbColor rgb="FFFEF3C7"/>
      <rgbColor rgb="FFCCFBF1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65F46"/>
      <rgbColor rgb="FF0000CD"/>
      <rgbColor rgb="FF00CCFF"/>
      <rgbColor rgb="FFDCFCE7"/>
      <rgbColor rgb="FFDBEAFE"/>
      <rgbColor rgb="FFF3F4F6"/>
      <rgbColor rgb="FF99CCFF"/>
      <rgbColor rgb="FFFF99CC"/>
      <rgbColor rgb="FFCC99FF"/>
      <rgbColor rgb="FFFEE2E2"/>
      <rgbColor rgb="FF2563EB"/>
      <rgbColor rgb="FF33CCCC"/>
      <rgbColor rgb="FF99CC00"/>
      <rgbColor rgb="FFFFCC00"/>
      <rgbColor rgb="FFFF9900"/>
      <rgbColor rgb="FFD97706"/>
      <rgbColor rgb="FF6B7280"/>
      <rgbColor rgb="FF969696"/>
      <rgbColor rgb="FF1E3A5F"/>
      <rgbColor rgb="FF339966"/>
      <rgbColor rgb="FF003300"/>
      <rgbColor rgb="FF1B2A4A"/>
      <rgbColor rgb="FF991B1B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38"/>
    <col collapsed="false" customWidth="true" hidden="false" outlineLevel="0" max="3" min="3" style="1" width="52"/>
  </cols>
  <sheetData>
    <row r="1" customFormat="false" ht="30" hidden="false" customHeight="true" outlineLevel="0" collapsed="false">
      <c r="B1" s="2" t="s">
        <v>0</v>
      </c>
      <c r="C1" s="2"/>
    </row>
    <row r="3" customFormat="false" ht="13.5" hidden="false" customHeight="true" outlineLevel="0" collapsed="false">
      <c r="B3" s="3" t="s">
        <v>1</v>
      </c>
      <c r="C3" s="3"/>
    </row>
    <row r="4" customFormat="false" ht="27" hidden="false" customHeight="true" outlineLevel="0" collapsed="false">
      <c r="B4" s="4" t="s">
        <v>2</v>
      </c>
      <c r="C4" s="5" t="s">
        <v>3</v>
      </c>
    </row>
    <row r="5" customFormat="false" ht="13.5" hidden="false" customHeight="true" outlineLevel="0" collapsed="false">
      <c r="B5" s="3" t="s">
        <v>4</v>
      </c>
      <c r="C5" s="3"/>
    </row>
    <row r="6" customFormat="false" ht="27" hidden="false" customHeight="true" outlineLevel="0" collapsed="false">
      <c r="B6" s="4" t="s">
        <v>5</v>
      </c>
      <c r="C6" s="5" t="s">
        <v>6</v>
      </c>
    </row>
    <row r="7" customFormat="false" ht="13.5" hidden="false" customHeight="true" outlineLevel="0" collapsed="false">
      <c r="B7" s="4" t="s">
        <v>7</v>
      </c>
      <c r="C7" s="5" t="s">
        <v>8</v>
      </c>
    </row>
    <row r="8" customFormat="false" ht="13.5" hidden="false" customHeight="true" outlineLevel="0" collapsed="false">
      <c r="B8" s="4" t="s">
        <v>9</v>
      </c>
      <c r="C8" s="5" t="s">
        <v>10</v>
      </c>
    </row>
    <row r="9" customFormat="false" ht="13.5" hidden="false" customHeight="true" outlineLevel="0" collapsed="false">
      <c r="B9" s="4" t="s">
        <v>11</v>
      </c>
      <c r="C9" s="5" t="s">
        <v>12</v>
      </c>
    </row>
    <row r="10" customFormat="false" ht="27" hidden="false" customHeight="true" outlineLevel="0" collapsed="false">
      <c r="B10" s="4" t="s">
        <v>13</v>
      </c>
      <c r="C10" s="5" t="s">
        <v>14</v>
      </c>
    </row>
    <row r="11" customFormat="false" ht="13.5" hidden="false" customHeight="true" outlineLevel="0" collapsed="false">
      <c r="B11" s="3" t="s">
        <v>15</v>
      </c>
      <c r="C11" s="3"/>
    </row>
    <row r="12" customFormat="false" ht="13.5" hidden="false" customHeight="true" outlineLevel="0" collapsed="false">
      <c r="B12" s="4" t="s">
        <v>16</v>
      </c>
      <c r="C12" s="5" t="s">
        <v>17</v>
      </c>
    </row>
    <row r="13" customFormat="false" ht="13.5" hidden="false" customHeight="true" outlineLevel="0" collapsed="false">
      <c r="B13" s="4" t="s">
        <v>18</v>
      </c>
      <c r="C13" s="5" t="s">
        <v>19</v>
      </c>
    </row>
    <row r="14" customFormat="false" ht="13.5" hidden="false" customHeight="true" outlineLevel="0" collapsed="false">
      <c r="B14" s="4" t="s">
        <v>20</v>
      </c>
      <c r="C14" s="5" t="s">
        <v>21</v>
      </c>
    </row>
  </sheetData>
  <mergeCells count="4">
    <mergeCell ref="B1:C1"/>
    <mergeCell ref="B3:C3"/>
    <mergeCell ref="B5:C5"/>
    <mergeCell ref="B11:C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2"/>
    <col collapsed="false" customWidth="true" hidden="false" outlineLevel="0" max="3" min="3" style="1" width="8"/>
    <col collapsed="false" customWidth="true" hidden="false" outlineLevel="0" max="4" min="4" style="1" width="28"/>
    <col collapsed="false" customWidth="true" hidden="false" outlineLevel="0" max="10" min="5" style="1" width="13"/>
    <col collapsed="false" customWidth="true" hidden="false" outlineLevel="0" max="11" min="11" style="1" width="16"/>
    <col collapsed="false" customWidth="true" hidden="false" outlineLevel="0" max="12" min="12" style="1" width="28"/>
    <col collapsed="false" customWidth="true" hidden="false" outlineLevel="0" max="13" min="13" style="1" width="38"/>
  </cols>
  <sheetData>
    <row r="1" customFormat="false" ht="21.75" hidden="false" customHeight="true" outlineLevel="0" collapsed="false">
      <c r="A1" s="6" t="s">
        <v>22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customFormat="false" ht="21.75" hidden="false" customHeight="true" outlineLevel="0" collapsed="false">
      <c r="A2" s="7" t="s">
        <v>23</v>
      </c>
      <c r="B2" s="7" t="s">
        <v>24</v>
      </c>
      <c r="C2" s="7" t="s">
        <v>25</v>
      </c>
      <c r="D2" s="7" t="s">
        <v>26</v>
      </c>
      <c r="E2" s="7" t="s">
        <v>27</v>
      </c>
      <c r="F2" s="7" t="s">
        <v>28</v>
      </c>
      <c r="G2" s="7" t="s">
        <v>29</v>
      </c>
      <c r="H2" s="7" t="s">
        <v>30</v>
      </c>
      <c r="I2" s="7" t="s">
        <v>31</v>
      </c>
      <c r="J2" s="7" t="s">
        <v>32</v>
      </c>
      <c r="K2" s="8" t="s">
        <v>33</v>
      </c>
      <c r="L2" s="7" t="s">
        <v>34</v>
      </c>
      <c r="M2" s="7" t="s">
        <v>35</v>
      </c>
    </row>
    <row r="3" customFormat="false" ht="18" hidden="false" customHeight="true" outlineLevel="0" collapsed="false">
      <c r="A3" s="9" t="s">
        <v>36</v>
      </c>
      <c r="B3" s="9"/>
      <c r="C3" s="9"/>
      <c r="D3" s="9"/>
      <c r="E3" s="10" t="s">
        <v>37</v>
      </c>
      <c r="F3" s="10" t="s">
        <v>38</v>
      </c>
      <c r="G3" s="10" t="s">
        <v>39</v>
      </c>
      <c r="H3" s="10" t="s">
        <v>40</v>
      </c>
      <c r="I3" s="10" t="s">
        <v>41</v>
      </c>
      <c r="J3" s="10" t="s">
        <v>42</v>
      </c>
      <c r="K3" s="11"/>
      <c r="L3" s="12" t="s">
        <v>43</v>
      </c>
      <c r="M3" s="12"/>
    </row>
    <row r="4" customFormat="false" ht="18" hidden="false" customHeight="true" outlineLevel="0" collapsed="false">
      <c r="A4" s="13" t="s">
        <v>44</v>
      </c>
      <c r="B4" s="14" t="s">
        <v>45</v>
      </c>
      <c r="C4" s="13" t="s">
        <v>46</v>
      </c>
      <c r="D4" s="15" t="s">
        <v>47</v>
      </c>
      <c r="E4" s="16"/>
      <c r="F4" s="16"/>
      <c r="G4" s="16"/>
      <c r="H4" s="16"/>
      <c r="I4" s="16"/>
      <c r="J4" s="16"/>
      <c r="K4" s="17" t="n">
        <f aca="false">SUM(E4:J4)</f>
        <v>0</v>
      </c>
      <c r="L4" s="18"/>
      <c r="M4" s="19"/>
    </row>
    <row r="5" customFormat="false" ht="18" hidden="false" customHeight="true" outlineLevel="0" collapsed="false">
      <c r="A5" s="20" t="s">
        <v>44</v>
      </c>
      <c r="B5" s="21" t="s">
        <v>45</v>
      </c>
      <c r="C5" s="20" t="s">
        <v>48</v>
      </c>
      <c r="D5" s="22" t="s">
        <v>47</v>
      </c>
      <c r="E5" s="23"/>
      <c r="F5" s="23"/>
      <c r="G5" s="23"/>
      <c r="H5" s="23"/>
      <c r="I5" s="23"/>
      <c r="J5" s="23"/>
      <c r="K5" s="17" t="n">
        <f aca="false">SUM(E5:J5)</f>
        <v>0</v>
      </c>
      <c r="L5" s="24"/>
      <c r="M5" s="25"/>
    </row>
    <row r="6" customFormat="false" ht="18" hidden="false" customHeight="true" outlineLevel="0" collapsed="false">
      <c r="A6" s="13" t="s">
        <v>44</v>
      </c>
      <c r="B6" s="14" t="s">
        <v>45</v>
      </c>
      <c r="C6" s="13" t="s">
        <v>49</v>
      </c>
      <c r="D6" s="15" t="s">
        <v>47</v>
      </c>
      <c r="E6" s="16"/>
      <c r="F6" s="16"/>
      <c r="G6" s="16"/>
      <c r="H6" s="26" t="n">
        <v>1000000</v>
      </c>
      <c r="I6" s="16"/>
      <c r="J6" s="16"/>
      <c r="K6" s="17" t="n">
        <f aca="false">SUM(E6:J6)</f>
        <v>1000000</v>
      </c>
      <c r="L6" s="18" t="s">
        <v>50</v>
      </c>
      <c r="M6" s="19"/>
    </row>
    <row r="7" customFormat="false" ht="18" hidden="false" customHeight="true" outlineLevel="0" collapsed="false">
      <c r="A7" s="20" t="s">
        <v>44</v>
      </c>
      <c r="B7" s="21" t="s">
        <v>51</v>
      </c>
      <c r="C7" s="20" t="s">
        <v>46</v>
      </c>
      <c r="D7" s="22" t="s">
        <v>47</v>
      </c>
      <c r="E7" s="23"/>
      <c r="F7" s="23"/>
      <c r="G7" s="23"/>
      <c r="H7" s="23"/>
      <c r="I7" s="23"/>
      <c r="J7" s="23"/>
      <c r="K7" s="17" t="n">
        <f aca="false">SUM(E7:J7)</f>
        <v>0</v>
      </c>
      <c r="L7" s="24"/>
      <c r="M7" s="25"/>
    </row>
    <row r="8" customFormat="false" ht="18" hidden="false" customHeight="true" outlineLevel="0" collapsed="false">
      <c r="A8" s="13" t="s">
        <v>44</v>
      </c>
      <c r="B8" s="14" t="s">
        <v>51</v>
      </c>
      <c r="C8" s="13" t="s">
        <v>48</v>
      </c>
      <c r="D8" s="15" t="s">
        <v>47</v>
      </c>
      <c r="E8" s="16"/>
      <c r="F8" s="16"/>
      <c r="G8" s="16"/>
      <c r="H8" s="16"/>
      <c r="I8" s="16"/>
      <c r="J8" s="16"/>
      <c r="K8" s="17" t="n">
        <f aca="false">SUM(E8:J8)</f>
        <v>0</v>
      </c>
      <c r="L8" s="18"/>
      <c r="M8" s="19"/>
    </row>
    <row r="9" customFormat="false" ht="18" hidden="false" customHeight="true" outlineLevel="0" collapsed="false">
      <c r="A9" s="20" t="s">
        <v>44</v>
      </c>
      <c r="B9" s="21" t="s">
        <v>51</v>
      </c>
      <c r="C9" s="20" t="s">
        <v>49</v>
      </c>
      <c r="D9" s="22" t="s">
        <v>47</v>
      </c>
      <c r="E9" s="27" t="n">
        <v>1766700</v>
      </c>
      <c r="F9" s="23"/>
      <c r="G9" s="23"/>
      <c r="H9" s="23"/>
      <c r="I9" s="23"/>
      <c r="J9" s="23"/>
      <c r="K9" s="17" t="n">
        <f aca="false">SUM(E9:J9)</f>
        <v>1766700</v>
      </c>
      <c r="L9" s="24" t="s">
        <v>52</v>
      </c>
      <c r="M9" s="25"/>
    </row>
    <row r="10" customFormat="false" ht="18" hidden="false" customHeight="true" outlineLevel="0" collapsed="false">
      <c r="A10" s="13" t="s">
        <v>53</v>
      </c>
      <c r="B10" s="14" t="s">
        <v>54</v>
      </c>
      <c r="C10" s="13" t="s">
        <v>46</v>
      </c>
      <c r="D10" s="15" t="s">
        <v>47</v>
      </c>
      <c r="E10" s="16"/>
      <c r="F10" s="16"/>
      <c r="G10" s="16"/>
      <c r="H10" s="16"/>
      <c r="I10" s="16"/>
      <c r="J10" s="16"/>
      <c r="K10" s="17" t="n">
        <f aca="false">SUM(E10:J10)</f>
        <v>0</v>
      </c>
      <c r="L10" s="18"/>
      <c r="M10" s="19"/>
    </row>
    <row r="11" customFormat="false" ht="18" hidden="false" customHeight="true" outlineLevel="0" collapsed="false">
      <c r="A11" s="20" t="s">
        <v>53</v>
      </c>
      <c r="B11" s="21" t="s">
        <v>54</v>
      </c>
      <c r="C11" s="20" t="s">
        <v>48</v>
      </c>
      <c r="D11" s="22" t="s">
        <v>47</v>
      </c>
      <c r="E11" s="23"/>
      <c r="F11" s="23"/>
      <c r="G11" s="23"/>
      <c r="H11" s="23"/>
      <c r="I11" s="23"/>
      <c r="J11" s="23"/>
      <c r="K11" s="17" t="n">
        <f aca="false">SUM(E11:J11)</f>
        <v>0</v>
      </c>
      <c r="L11" s="24"/>
      <c r="M11" s="25"/>
    </row>
    <row r="12" customFormat="false" ht="18" hidden="false" customHeight="true" outlineLevel="0" collapsed="false">
      <c r="A12" s="13" t="s">
        <v>53</v>
      </c>
      <c r="B12" s="14" t="s">
        <v>54</v>
      </c>
      <c r="C12" s="13" t="s">
        <v>49</v>
      </c>
      <c r="D12" s="15" t="s">
        <v>47</v>
      </c>
      <c r="E12" s="16"/>
      <c r="F12" s="16"/>
      <c r="G12" s="16"/>
      <c r="H12" s="26" t="n">
        <v>2000000</v>
      </c>
      <c r="I12" s="16"/>
      <c r="J12" s="16"/>
      <c r="K12" s="17" t="n">
        <f aca="false">SUM(E12:J12)</f>
        <v>2000000</v>
      </c>
      <c r="L12" s="18" t="s">
        <v>55</v>
      </c>
      <c r="M12" s="19"/>
    </row>
    <row r="13" customFormat="false" ht="18" hidden="false" customHeight="true" outlineLevel="0" collapsed="false">
      <c r="A13" s="20" t="s">
        <v>56</v>
      </c>
      <c r="B13" s="21" t="s">
        <v>57</v>
      </c>
      <c r="C13" s="20" t="s">
        <v>46</v>
      </c>
      <c r="D13" s="22" t="s">
        <v>47</v>
      </c>
      <c r="E13" s="23"/>
      <c r="F13" s="23"/>
      <c r="G13" s="23"/>
      <c r="H13" s="23"/>
      <c r="I13" s="23"/>
      <c r="J13" s="23"/>
      <c r="K13" s="17" t="n">
        <f aca="false">SUM(E13:J13)</f>
        <v>0</v>
      </c>
      <c r="L13" s="24"/>
      <c r="M13" s="25"/>
    </row>
    <row r="14" customFormat="false" ht="18" hidden="false" customHeight="true" outlineLevel="0" collapsed="false">
      <c r="A14" s="13" t="s">
        <v>56</v>
      </c>
      <c r="B14" s="14" t="s">
        <v>57</v>
      </c>
      <c r="C14" s="13" t="s">
        <v>48</v>
      </c>
      <c r="D14" s="15" t="s">
        <v>47</v>
      </c>
      <c r="E14" s="16"/>
      <c r="F14" s="16"/>
      <c r="G14" s="16"/>
      <c r="H14" s="16"/>
      <c r="I14" s="16"/>
      <c r="J14" s="16"/>
      <c r="K14" s="17" t="n">
        <f aca="false">SUM(E14:J14)</f>
        <v>0</v>
      </c>
      <c r="L14" s="18"/>
      <c r="M14" s="19"/>
    </row>
    <row r="15" customFormat="false" ht="18" hidden="false" customHeight="true" outlineLevel="0" collapsed="false">
      <c r="A15" s="20" t="s">
        <v>56</v>
      </c>
      <c r="B15" s="21" t="s">
        <v>57</v>
      </c>
      <c r="C15" s="20" t="s">
        <v>49</v>
      </c>
      <c r="D15" s="22" t="s">
        <v>47</v>
      </c>
      <c r="E15" s="23"/>
      <c r="F15" s="23"/>
      <c r="G15" s="27" t="n">
        <v>7617000</v>
      </c>
      <c r="H15" s="23"/>
      <c r="I15" s="23"/>
      <c r="J15" s="23"/>
      <c r="K15" s="17" t="n">
        <f aca="false">SUM(E15:J15)</f>
        <v>7617000</v>
      </c>
      <c r="L15" s="24" t="s">
        <v>58</v>
      </c>
      <c r="M15" s="25"/>
    </row>
    <row r="16" customFormat="false" ht="18" hidden="false" customHeight="true" outlineLevel="0" collapsed="false">
      <c r="A16" s="13" t="s">
        <v>56</v>
      </c>
      <c r="B16" s="14" t="s">
        <v>59</v>
      </c>
      <c r="C16" s="13" t="s">
        <v>46</v>
      </c>
      <c r="D16" s="15" t="s">
        <v>47</v>
      </c>
      <c r="E16" s="16"/>
      <c r="F16" s="16"/>
      <c r="G16" s="16"/>
      <c r="H16" s="26" t="n">
        <v>1000000</v>
      </c>
      <c r="I16" s="16"/>
      <c r="J16" s="16"/>
      <c r="K16" s="17" t="n">
        <f aca="false">SUM(E16:J16)</f>
        <v>1000000</v>
      </c>
      <c r="L16" s="18" t="s">
        <v>60</v>
      </c>
      <c r="M16" s="19"/>
    </row>
    <row r="17" customFormat="false" ht="18" hidden="false" customHeight="true" outlineLevel="0" collapsed="false">
      <c r="A17" s="20" t="s">
        <v>56</v>
      </c>
      <c r="B17" s="21" t="s">
        <v>59</v>
      </c>
      <c r="C17" s="20" t="s">
        <v>48</v>
      </c>
      <c r="D17" s="22" t="s">
        <v>47</v>
      </c>
      <c r="E17" s="23"/>
      <c r="F17" s="23"/>
      <c r="G17" s="23"/>
      <c r="H17" s="27" t="n">
        <v>1000000</v>
      </c>
      <c r="I17" s="23"/>
      <c r="J17" s="23"/>
      <c r="K17" s="17" t="n">
        <f aca="false">SUM(E17:J17)</f>
        <v>1000000</v>
      </c>
      <c r="L17" s="24" t="s">
        <v>61</v>
      </c>
      <c r="M17" s="25"/>
    </row>
    <row r="18" customFormat="false" ht="18" hidden="false" customHeight="true" outlineLevel="0" collapsed="false">
      <c r="A18" s="13" t="s">
        <v>56</v>
      </c>
      <c r="B18" s="14" t="s">
        <v>59</v>
      </c>
      <c r="C18" s="13" t="s">
        <v>49</v>
      </c>
      <c r="D18" s="15" t="s">
        <v>47</v>
      </c>
      <c r="E18" s="16"/>
      <c r="F18" s="16"/>
      <c r="G18" s="16"/>
      <c r="H18" s="26" t="n">
        <v>2500000</v>
      </c>
      <c r="I18" s="16"/>
      <c r="J18" s="16"/>
      <c r="K18" s="17" t="n">
        <f aca="false">SUM(E18:J18)</f>
        <v>2500000</v>
      </c>
      <c r="L18" s="18" t="s">
        <v>62</v>
      </c>
      <c r="M18" s="19"/>
    </row>
    <row r="19" customFormat="false" ht="18" hidden="false" customHeight="true" outlineLevel="0" collapsed="false">
      <c r="A19" s="20" t="s">
        <v>56</v>
      </c>
      <c r="B19" s="21" t="s">
        <v>63</v>
      </c>
      <c r="C19" s="20" t="s">
        <v>46</v>
      </c>
      <c r="D19" s="22" t="s">
        <v>47</v>
      </c>
      <c r="E19" s="23"/>
      <c r="F19" s="23"/>
      <c r="G19" s="23"/>
      <c r="H19" s="23"/>
      <c r="I19" s="23"/>
      <c r="J19" s="23"/>
      <c r="K19" s="17" t="n">
        <f aca="false">SUM(E19:J19)</f>
        <v>0</v>
      </c>
      <c r="L19" s="24"/>
      <c r="M19" s="25"/>
    </row>
    <row r="20" customFormat="false" ht="18" hidden="false" customHeight="true" outlineLevel="0" collapsed="false">
      <c r="A20" s="13" t="s">
        <v>56</v>
      </c>
      <c r="B20" s="14" t="s">
        <v>63</v>
      </c>
      <c r="C20" s="13" t="s">
        <v>48</v>
      </c>
      <c r="D20" s="15" t="s">
        <v>47</v>
      </c>
      <c r="E20" s="16"/>
      <c r="F20" s="16"/>
      <c r="G20" s="16"/>
      <c r="H20" s="16"/>
      <c r="I20" s="16"/>
      <c r="J20" s="16"/>
      <c r="K20" s="17" t="n">
        <f aca="false">SUM(E20:J20)</f>
        <v>0</v>
      </c>
      <c r="L20" s="18"/>
      <c r="M20" s="19"/>
    </row>
    <row r="21" customFormat="false" ht="18" hidden="false" customHeight="true" outlineLevel="0" collapsed="false">
      <c r="A21" s="20" t="s">
        <v>56</v>
      </c>
      <c r="B21" s="21" t="s">
        <v>63</v>
      </c>
      <c r="C21" s="20" t="s">
        <v>49</v>
      </c>
      <c r="D21" s="22" t="s">
        <v>47</v>
      </c>
      <c r="E21" s="23"/>
      <c r="F21" s="23"/>
      <c r="G21" s="23"/>
      <c r="H21" s="27" t="n">
        <v>916100</v>
      </c>
      <c r="I21" s="23"/>
      <c r="J21" s="23"/>
      <c r="K21" s="17" t="n">
        <f aca="false">SUM(E21:J21)</f>
        <v>916100</v>
      </c>
      <c r="L21" s="24" t="s">
        <v>64</v>
      </c>
      <c r="M21" s="25"/>
    </row>
    <row r="22" customFormat="false" ht="18" hidden="false" customHeight="true" outlineLevel="0" collapsed="false">
      <c r="A22" s="13" t="s">
        <v>65</v>
      </c>
      <c r="B22" s="14" t="s">
        <v>66</v>
      </c>
      <c r="C22" s="13" t="s">
        <v>46</v>
      </c>
      <c r="D22" s="15" t="s">
        <v>47</v>
      </c>
      <c r="E22" s="16"/>
      <c r="F22" s="16"/>
      <c r="G22" s="26" t="n">
        <v>2044900</v>
      </c>
      <c r="H22" s="16"/>
      <c r="I22" s="16"/>
      <c r="J22" s="16"/>
      <c r="K22" s="17" t="n">
        <f aca="false">SUM(E22:J22)</f>
        <v>2044900</v>
      </c>
      <c r="L22" s="18" t="s">
        <v>67</v>
      </c>
      <c r="M22" s="19"/>
    </row>
    <row r="23" customFormat="false" ht="18" hidden="false" customHeight="true" outlineLevel="0" collapsed="false">
      <c r="A23" s="20" t="s">
        <v>65</v>
      </c>
      <c r="B23" s="21" t="s">
        <v>66</v>
      </c>
      <c r="C23" s="20" t="s">
        <v>48</v>
      </c>
      <c r="D23" s="22" t="s">
        <v>47</v>
      </c>
      <c r="E23" s="23"/>
      <c r="F23" s="23"/>
      <c r="G23" s="27" t="n">
        <v>1494400</v>
      </c>
      <c r="H23" s="23"/>
      <c r="I23" s="23"/>
      <c r="J23" s="23"/>
      <c r="K23" s="17" t="n">
        <f aca="false">SUM(E23:J23)</f>
        <v>1494400</v>
      </c>
      <c r="L23" s="24" t="s">
        <v>68</v>
      </c>
      <c r="M23" s="25"/>
    </row>
    <row r="24" customFormat="false" ht="18" hidden="false" customHeight="true" outlineLevel="0" collapsed="false">
      <c r="A24" s="13" t="s">
        <v>65</v>
      </c>
      <c r="B24" s="14" t="s">
        <v>66</v>
      </c>
      <c r="C24" s="13" t="s">
        <v>49</v>
      </c>
      <c r="D24" s="15" t="s">
        <v>47</v>
      </c>
      <c r="E24" s="16"/>
      <c r="F24" s="16"/>
      <c r="G24" s="26" t="n">
        <v>4791700</v>
      </c>
      <c r="H24" s="16"/>
      <c r="I24" s="16"/>
      <c r="J24" s="16"/>
      <c r="K24" s="17" t="n">
        <f aca="false">SUM(E24:J24)</f>
        <v>4791700</v>
      </c>
      <c r="L24" s="18" t="s">
        <v>69</v>
      </c>
      <c r="M24" s="19"/>
    </row>
    <row r="25" customFormat="false" ht="18" hidden="false" customHeight="true" outlineLevel="0" collapsed="false">
      <c r="A25" s="20" t="s">
        <v>65</v>
      </c>
      <c r="B25" s="21" t="s">
        <v>70</v>
      </c>
      <c r="C25" s="20" t="s">
        <v>46</v>
      </c>
      <c r="D25" s="22" t="s">
        <v>47</v>
      </c>
      <c r="E25" s="23"/>
      <c r="F25" s="23"/>
      <c r="G25" s="23"/>
      <c r="H25" s="23"/>
      <c r="I25" s="23"/>
      <c r="J25" s="23"/>
      <c r="K25" s="17" t="n">
        <f aca="false">SUM(E25:J25)</f>
        <v>0</v>
      </c>
      <c r="L25" s="24"/>
      <c r="M25" s="25"/>
    </row>
    <row r="26" customFormat="false" ht="18" hidden="false" customHeight="true" outlineLevel="0" collapsed="false">
      <c r="A26" s="13" t="s">
        <v>65</v>
      </c>
      <c r="B26" s="14" t="s">
        <v>70</v>
      </c>
      <c r="C26" s="13" t="s">
        <v>48</v>
      </c>
      <c r="D26" s="15" t="s">
        <v>47</v>
      </c>
      <c r="E26" s="16"/>
      <c r="F26" s="16"/>
      <c r="G26" s="16"/>
      <c r="H26" s="16"/>
      <c r="I26" s="16"/>
      <c r="J26" s="16"/>
      <c r="K26" s="17" t="n">
        <f aca="false">SUM(E26:J26)</f>
        <v>0</v>
      </c>
      <c r="L26" s="18"/>
      <c r="M26" s="19"/>
    </row>
    <row r="27" customFormat="false" ht="18" hidden="false" customHeight="true" outlineLevel="0" collapsed="false">
      <c r="A27" s="20" t="s">
        <v>65</v>
      </c>
      <c r="B27" s="21" t="s">
        <v>70</v>
      </c>
      <c r="C27" s="20" t="s">
        <v>49</v>
      </c>
      <c r="D27" s="22" t="s">
        <v>47</v>
      </c>
      <c r="E27" s="23"/>
      <c r="F27" s="23"/>
      <c r="G27" s="23"/>
      <c r="H27" s="27" t="n">
        <v>381200</v>
      </c>
      <c r="I27" s="23"/>
      <c r="J27" s="23"/>
      <c r="K27" s="17" t="n">
        <f aca="false">SUM(E27:J27)</f>
        <v>381200</v>
      </c>
      <c r="L27" s="24" t="s">
        <v>71</v>
      </c>
      <c r="M27" s="25"/>
    </row>
    <row r="28" customFormat="false" ht="18" hidden="false" customHeight="true" outlineLevel="0" collapsed="false">
      <c r="A28" s="13" t="s">
        <v>72</v>
      </c>
      <c r="B28" s="14" t="s">
        <v>73</v>
      </c>
      <c r="C28" s="13" t="s">
        <v>46</v>
      </c>
      <c r="D28" s="15" t="s">
        <v>47</v>
      </c>
      <c r="E28" s="16"/>
      <c r="F28" s="16"/>
      <c r="G28" s="16"/>
      <c r="H28" s="16"/>
      <c r="I28" s="16"/>
      <c r="J28" s="16"/>
      <c r="K28" s="17" t="n">
        <f aca="false">SUM(E28:J28)</f>
        <v>0</v>
      </c>
      <c r="L28" s="18"/>
      <c r="M28" s="19"/>
    </row>
    <row r="29" customFormat="false" ht="18" hidden="false" customHeight="true" outlineLevel="0" collapsed="false">
      <c r="A29" s="20" t="s">
        <v>72</v>
      </c>
      <c r="B29" s="21" t="s">
        <v>73</v>
      </c>
      <c r="C29" s="20" t="s">
        <v>48</v>
      </c>
      <c r="D29" s="22" t="s">
        <v>47</v>
      </c>
      <c r="E29" s="23"/>
      <c r="F29" s="23"/>
      <c r="G29" s="23"/>
      <c r="H29" s="23"/>
      <c r="I29" s="23"/>
      <c r="J29" s="23"/>
      <c r="K29" s="17" t="n">
        <f aca="false">SUM(E29:J29)</f>
        <v>0</v>
      </c>
      <c r="L29" s="24"/>
      <c r="M29" s="25"/>
    </row>
    <row r="30" customFormat="false" ht="18" hidden="false" customHeight="true" outlineLevel="0" collapsed="false">
      <c r="A30" s="13" t="s">
        <v>72</v>
      </c>
      <c r="B30" s="14" t="s">
        <v>73</v>
      </c>
      <c r="C30" s="13" t="s">
        <v>49</v>
      </c>
      <c r="D30" s="15" t="s">
        <v>47</v>
      </c>
      <c r="E30" s="16"/>
      <c r="F30" s="16"/>
      <c r="G30" s="26" t="n">
        <v>1639600</v>
      </c>
      <c r="H30" s="16"/>
      <c r="I30" s="16"/>
      <c r="J30" s="16"/>
      <c r="K30" s="17" t="n">
        <f aca="false">SUM(E30:J30)</f>
        <v>1639600</v>
      </c>
      <c r="L30" s="18" t="s">
        <v>74</v>
      </c>
      <c r="M30" s="19"/>
    </row>
    <row r="31" customFormat="false" ht="18" hidden="false" customHeight="true" outlineLevel="0" collapsed="false">
      <c r="A31" s="20" t="s">
        <v>72</v>
      </c>
      <c r="B31" s="21" t="s">
        <v>75</v>
      </c>
      <c r="C31" s="20" t="s">
        <v>46</v>
      </c>
      <c r="D31" s="22" t="s">
        <v>47</v>
      </c>
      <c r="E31" s="23"/>
      <c r="F31" s="23"/>
      <c r="G31" s="23"/>
      <c r="H31" s="23"/>
      <c r="I31" s="23"/>
      <c r="J31" s="23"/>
      <c r="K31" s="17" t="n">
        <f aca="false">SUM(E31:J31)</f>
        <v>0</v>
      </c>
      <c r="L31" s="24"/>
      <c r="M31" s="25"/>
    </row>
    <row r="32" customFormat="false" ht="18" hidden="false" customHeight="true" outlineLevel="0" collapsed="false">
      <c r="A32" s="13" t="s">
        <v>72</v>
      </c>
      <c r="B32" s="14" t="s">
        <v>75</v>
      </c>
      <c r="C32" s="13" t="s">
        <v>48</v>
      </c>
      <c r="D32" s="15" t="s">
        <v>47</v>
      </c>
      <c r="E32" s="16"/>
      <c r="F32" s="16"/>
      <c r="G32" s="16"/>
      <c r="H32" s="16"/>
      <c r="I32" s="16"/>
      <c r="J32" s="16"/>
      <c r="K32" s="17" t="n">
        <f aca="false">SUM(E32:J32)</f>
        <v>0</v>
      </c>
      <c r="L32" s="18"/>
      <c r="M32" s="19"/>
    </row>
    <row r="33" customFormat="false" ht="18" hidden="false" customHeight="true" outlineLevel="0" collapsed="false">
      <c r="A33" s="20" t="s">
        <v>72</v>
      </c>
      <c r="B33" s="21" t="s">
        <v>75</v>
      </c>
      <c r="C33" s="20" t="s">
        <v>49</v>
      </c>
      <c r="D33" s="22" t="s">
        <v>47</v>
      </c>
      <c r="E33" s="27" t="n">
        <v>562700</v>
      </c>
      <c r="F33" s="23"/>
      <c r="G33" s="23"/>
      <c r="H33" s="23"/>
      <c r="I33" s="23"/>
      <c r="J33" s="23"/>
      <c r="K33" s="17" t="n">
        <f aca="false">SUM(E33:J33)</f>
        <v>562700</v>
      </c>
      <c r="L33" s="24" t="s">
        <v>76</v>
      </c>
      <c r="M33" s="25"/>
    </row>
    <row r="34" customFormat="false" ht="18" hidden="false" customHeight="true" outlineLevel="0" collapsed="false">
      <c r="A34" s="13" t="s">
        <v>77</v>
      </c>
      <c r="B34" s="14" t="s">
        <v>77</v>
      </c>
      <c r="C34" s="13" t="s">
        <v>46</v>
      </c>
      <c r="D34" s="15" t="s">
        <v>47</v>
      </c>
      <c r="E34" s="16"/>
      <c r="F34" s="16"/>
      <c r="G34" s="16"/>
      <c r="H34" s="26" t="n">
        <v>75000</v>
      </c>
      <c r="I34" s="16"/>
      <c r="J34" s="16"/>
      <c r="K34" s="17" t="n">
        <f aca="false">SUM(E34:J34)</f>
        <v>75000</v>
      </c>
      <c r="L34" s="18" t="s">
        <v>78</v>
      </c>
      <c r="M34" s="19"/>
    </row>
    <row r="35" customFormat="false" ht="18" hidden="false" customHeight="true" outlineLevel="0" collapsed="false">
      <c r="A35" s="28" t="s">
        <v>79</v>
      </c>
      <c r="B35" s="29" t="s">
        <v>79</v>
      </c>
      <c r="C35" s="28" t="s">
        <v>80</v>
      </c>
      <c r="D35" s="30" t="s">
        <v>80</v>
      </c>
      <c r="E35" s="31" t="n">
        <v>2706400</v>
      </c>
      <c r="F35" s="32"/>
      <c r="G35" s="31" t="n">
        <v>4694800</v>
      </c>
      <c r="H35" s="31" t="n">
        <v>2145400</v>
      </c>
      <c r="I35" s="32"/>
      <c r="J35" s="32"/>
      <c r="K35" s="17" t="n">
        <f aca="false">SUM(E35:J35)</f>
        <v>9546600</v>
      </c>
      <c r="L35" s="33" t="s">
        <v>81</v>
      </c>
      <c r="M35" s="34"/>
    </row>
    <row r="36" customFormat="false" ht="19.5" hidden="false" customHeight="true" outlineLevel="0" collapsed="false">
      <c r="A36" s="35" t="s">
        <v>82</v>
      </c>
      <c r="B36" s="35"/>
      <c r="C36" s="35"/>
      <c r="D36" s="35"/>
      <c r="E36" s="36" t="n">
        <f aca="false">SUM(E4:E35)</f>
        <v>5035800</v>
      </c>
      <c r="F36" s="36" t="n">
        <f aca="false">SUM(F4:F35)</f>
        <v>0</v>
      </c>
      <c r="G36" s="36" t="n">
        <f aca="false">SUM(G4:G35)</f>
        <v>22282400</v>
      </c>
      <c r="H36" s="36" t="n">
        <f aca="false">SUM(H4:H35)</f>
        <v>11017700</v>
      </c>
      <c r="I36" s="36" t="n">
        <f aca="false">SUM(I4:I35)</f>
        <v>0</v>
      </c>
      <c r="J36" s="36" t="n">
        <f aca="false">SUM(J4:J35)</f>
        <v>0</v>
      </c>
      <c r="K36" s="36" t="n">
        <f aca="false">SUM(K4:K35)</f>
        <v>38335900</v>
      </c>
      <c r="L36" s="37"/>
      <c r="M36" s="37"/>
    </row>
    <row r="37" customFormat="false" ht="4.5" hidden="false" customHeight="true" outlineLevel="0" collapsed="false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</row>
    <row r="38" customFormat="false" ht="18" hidden="false" customHeight="true" outlineLevel="0" collapsed="false">
      <c r="A38" s="3" t="s">
        <v>83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customFormat="false" ht="18" hidden="false" customHeight="true" outlineLevel="0" collapsed="false">
      <c r="A39" s="39" t="s">
        <v>84</v>
      </c>
      <c r="B39" s="39"/>
      <c r="C39" s="39"/>
      <c r="D39" s="39"/>
      <c r="E39" s="40" t="n">
        <f aca="false">E36</f>
        <v>5035800</v>
      </c>
      <c r="F39" s="40" t="n">
        <f aca="false">F36</f>
        <v>0</v>
      </c>
      <c r="G39" s="40" t="n">
        <f aca="false">G36</f>
        <v>22282400</v>
      </c>
      <c r="H39" s="40" t="n">
        <f aca="false">H36</f>
        <v>11017700</v>
      </c>
      <c r="I39" s="40" t="n">
        <f aca="false">I36</f>
        <v>0</v>
      </c>
      <c r="J39" s="40" t="n">
        <f aca="false">J36</f>
        <v>0</v>
      </c>
      <c r="K39" s="40" t="n">
        <f aca="false">K36</f>
        <v>38335900</v>
      </c>
      <c r="L39" s="41"/>
      <c r="M39" s="41"/>
    </row>
    <row r="40" customFormat="false" ht="18" hidden="false" customHeight="true" outlineLevel="0" collapsed="false">
      <c r="A40" s="42" t="s">
        <v>85</v>
      </c>
      <c r="B40" s="42"/>
      <c r="C40" s="42"/>
      <c r="D40" s="42"/>
      <c r="E40" s="43" t="n">
        <v>0</v>
      </c>
      <c r="F40" s="43" t="n">
        <v>0</v>
      </c>
      <c r="G40" s="43" t="n">
        <v>0</v>
      </c>
      <c r="H40" s="43" t="n">
        <v>0</v>
      </c>
      <c r="I40" s="43" t="n">
        <v>0</v>
      </c>
      <c r="J40" s="43" t="n">
        <v>0</v>
      </c>
      <c r="K40" s="44" t="n">
        <f aca="false">SUM(E40:J40)</f>
        <v>0</v>
      </c>
      <c r="L40" s="45"/>
      <c r="M40" s="45"/>
    </row>
    <row r="41" customFormat="false" ht="18" hidden="false" customHeight="true" outlineLevel="0" collapsed="false">
      <c r="A41" s="42" t="s">
        <v>86</v>
      </c>
      <c r="B41" s="42"/>
      <c r="C41" s="42"/>
      <c r="D41" s="42"/>
      <c r="E41" s="46" t="n">
        <v>0</v>
      </c>
      <c r="F41" s="46" t="n">
        <v>0</v>
      </c>
      <c r="G41" s="46" t="n">
        <v>0</v>
      </c>
      <c r="H41" s="46" t="n">
        <v>0</v>
      </c>
      <c r="I41" s="46" t="n">
        <v>0</v>
      </c>
      <c r="J41" s="46" t="n">
        <v>0</v>
      </c>
      <c r="K41" s="47" t="n">
        <f aca="false">SUM(E41:J41)</f>
        <v>0</v>
      </c>
      <c r="L41" s="45"/>
      <c r="M41" s="45"/>
    </row>
    <row r="42" customFormat="false" ht="18" hidden="false" customHeight="true" outlineLevel="0" collapsed="false">
      <c r="A42" s="48" t="s">
        <v>87</v>
      </c>
      <c r="B42" s="48"/>
      <c r="C42" s="48"/>
      <c r="D42" s="48"/>
      <c r="E42" s="49" t="n">
        <f aca="false">SUMIFS(E4:E35,B4:B35,"BCA*")</f>
        <v>1766700</v>
      </c>
      <c r="F42" s="49" t="n">
        <f aca="false">SUMIFS(F4:F35,B4:B35,"BCA*")</f>
        <v>0</v>
      </c>
      <c r="G42" s="49" t="n">
        <f aca="false">SUMIFS(G4:G35,B4:B35,"BCA*")</f>
        <v>0</v>
      </c>
      <c r="H42" s="49" t="n">
        <f aca="false">SUMIFS(H4:H35,B4:B35,"BCA*")</f>
        <v>3000000</v>
      </c>
      <c r="I42" s="49" t="n">
        <f aca="false">SUMIFS(I4:I35,B4:B35,"BCA*")</f>
        <v>0</v>
      </c>
      <c r="J42" s="49" t="n">
        <f aca="false">SUMIFS(J4:J35,B4:B35,"BCA*")</f>
        <v>0</v>
      </c>
      <c r="K42" s="40" t="n">
        <f aca="false">SUM(E42:J42)</f>
        <v>4766700</v>
      </c>
      <c r="L42" s="41"/>
      <c r="M42" s="41"/>
    </row>
    <row r="43" customFormat="false" ht="18" hidden="false" customHeight="true" outlineLevel="0" collapsed="false">
      <c r="A43" s="48" t="s">
        <v>88</v>
      </c>
      <c r="B43" s="48"/>
      <c r="C43" s="48"/>
      <c r="D43" s="48"/>
      <c r="E43" s="49" t="n">
        <f aca="false">SUMIFS(E4:E35,B4:B35,"BNI*")</f>
        <v>0</v>
      </c>
      <c r="F43" s="49" t="n">
        <f aca="false">SUMIFS(F4:F35,B4:B35,"BNI*")</f>
        <v>0</v>
      </c>
      <c r="G43" s="49" t="n">
        <f aca="false">SUMIFS(G4:G35,B4:B35,"BNI*")</f>
        <v>8331000</v>
      </c>
      <c r="H43" s="49" t="n">
        <f aca="false">SUMIFS(H4:H35,B4:B35,"BNI*")</f>
        <v>381200</v>
      </c>
      <c r="I43" s="49" t="n">
        <f aca="false">SUMIFS(I4:I35,B4:B35,"BNI*")</f>
        <v>0</v>
      </c>
      <c r="J43" s="49" t="n">
        <f aca="false">SUMIFS(J4:J35,B4:B35,"BNI*")</f>
        <v>0</v>
      </c>
      <c r="K43" s="40" t="n">
        <f aca="false">SUM(E43:J43)</f>
        <v>8712200</v>
      </c>
      <c r="L43" s="41"/>
      <c r="M43" s="41"/>
    </row>
    <row r="44" customFormat="false" ht="18" hidden="false" customHeight="true" outlineLevel="0" collapsed="false">
      <c r="A44" s="48" t="s">
        <v>89</v>
      </c>
      <c r="B44" s="48"/>
      <c r="C44" s="48"/>
      <c r="D44" s="48"/>
      <c r="E44" s="49" t="n">
        <f aca="false">SUMIFS(E4:E35,B4:B35,"BRI*")</f>
        <v>562700</v>
      </c>
      <c r="F44" s="49" t="n">
        <f aca="false">SUMIFS(F4:F35,B4:B35,"BRI*")</f>
        <v>0</v>
      </c>
      <c r="G44" s="49" t="n">
        <f aca="false">SUMIFS(G4:G35,B4:B35,"BRI*")</f>
        <v>1639600</v>
      </c>
      <c r="H44" s="49" t="n">
        <f aca="false">SUMIFS(H4:H35,B4:B35,"BRI*")</f>
        <v>0</v>
      </c>
      <c r="I44" s="49" t="n">
        <f aca="false">SUMIFS(I4:I35,B4:B35,"BRI*")</f>
        <v>0</v>
      </c>
      <c r="J44" s="49" t="n">
        <f aca="false">SUMIFS(J4:J35,B4:B35,"BRI*")</f>
        <v>0</v>
      </c>
      <c r="K44" s="40" t="n">
        <f aca="false">SUM(E44:J44)</f>
        <v>2202300</v>
      </c>
      <c r="L44" s="41"/>
      <c r="M44" s="41"/>
    </row>
    <row r="45" customFormat="false" ht="18" hidden="false" customHeight="true" outlineLevel="0" collapsed="false">
      <c r="A45" s="48" t="s">
        <v>90</v>
      </c>
      <c r="B45" s="48"/>
      <c r="C45" s="48"/>
      <c r="D45" s="48"/>
      <c r="E45" s="49" t="n">
        <f aca="false">SUMIFS(E4:E35,B4:B35,"MANDIRI*")</f>
        <v>0</v>
      </c>
      <c r="F45" s="49" t="n">
        <f aca="false">SUMIFS(F4:F35,B4:B35,"MANDIRI*")</f>
        <v>0</v>
      </c>
      <c r="G45" s="49" t="n">
        <f aca="false">SUMIFS(G4:G35,B4:B35,"MANDIRI*")</f>
        <v>7617000</v>
      </c>
      <c r="H45" s="49" t="n">
        <f aca="false">SUMIFS(H4:H35,B4:B35,"MANDIRI*")</f>
        <v>5416100</v>
      </c>
      <c r="I45" s="49" t="n">
        <f aca="false">SUMIFS(I4:I35,B4:B35,"MANDIRI*")</f>
        <v>0</v>
      </c>
      <c r="J45" s="49" t="n">
        <f aca="false">SUMIFS(J4:J35,B4:B35,"MANDIRI*")</f>
        <v>0</v>
      </c>
      <c r="K45" s="40" t="n">
        <f aca="false">SUM(E45:J45)</f>
        <v>13033100</v>
      </c>
      <c r="L45" s="41"/>
      <c r="M45" s="41"/>
    </row>
    <row r="46" customFormat="false" ht="18" hidden="false" customHeight="true" outlineLevel="0" collapsed="false">
      <c r="A46" s="48" t="s">
        <v>91</v>
      </c>
      <c r="B46" s="48"/>
      <c r="C46" s="48"/>
      <c r="D46" s="48"/>
      <c r="E46" s="49" t="n">
        <f aca="false">SUMIFS(E4:E35,B4:B35,"VOUCHER*")</f>
        <v>0</v>
      </c>
      <c r="F46" s="49" t="n">
        <f aca="false">SUMIFS(F4:F35,B4:B35,"VOUCHER*")</f>
        <v>0</v>
      </c>
      <c r="G46" s="49" t="n">
        <f aca="false">SUMIFS(G4:G35,B4:B35,"VOUCHER*")</f>
        <v>0</v>
      </c>
      <c r="H46" s="49" t="n">
        <f aca="false">SUMIFS(H4:H35,B4:B35,"VOUCHER*")</f>
        <v>75000</v>
      </c>
      <c r="I46" s="49" t="n">
        <f aca="false">SUMIFS(I4:I35,B4:B35,"VOUCHER*")</f>
        <v>0</v>
      </c>
      <c r="J46" s="49" t="n">
        <f aca="false">SUMIFS(J4:J35,B4:B35,"VOUCHER*")</f>
        <v>0</v>
      </c>
      <c r="K46" s="40" t="n">
        <f aca="false">SUM(E46:J46)</f>
        <v>75000</v>
      </c>
      <c r="L46" s="41"/>
      <c r="M46" s="41"/>
    </row>
    <row r="47" customFormat="false" ht="18" hidden="false" customHeight="true" outlineLevel="0" collapsed="false">
      <c r="A47" s="39" t="s">
        <v>92</v>
      </c>
      <c r="B47" s="39"/>
      <c r="C47" s="39"/>
      <c r="D47" s="39"/>
      <c r="E47" s="40" t="n">
        <f aca="false">E35</f>
        <v>2706400</v>
      </c>
      <c r="F47" s="40" t="n">
        <f aca="false">F35</f>
        <v>0</v>
      </c>
      <c r="G47" s="40" t="n">
        <f aca="false">G35</f>
        <v>4694800</v>
      </c>
      <c r="H47" s="40" t="n">
        <f aca="false">H35</f>
        <v>2145400</v>
      </c>
      <c r="I47" s="40" t="n">
        <f aca="false">I35</f>
        <v>0</v>
      </c>
      <c r="J47" s="40" t="n">
        <f aca="false">J35</f>
        <v>0</v>
      </c>
      <c r="K47" s="40" t="n">
        <f aca="false">K35</f>
        <v>9546600</v>
      </c>
      <c r="L47" s="41"/>
      <c r="M47" s="41"/>
    </row>
    <row r="48" customFormat="false" ht="19.5" hidden="false" customHeight="true" outlineLevel="0" collapsed="false">
      <c r="A48" s="39" t="s">
        <v>93</v>
      </c>
      <c r="B48" s="39"/>
      <c r="C48" s="39"/>
      <c r="D48" s="39"/>
      <c r="E48" s="40" t="n">
        <f aca="false">E42+E43+E44+E45+E46+E47</f>
        <v>5035800</v>
      </c>
      <c r="F48" s="40" t="n">
        <f aca="false">F42+F43+F44+F45+F46+F47</f>
        <v>0</v>
      </c>
      <c r="G48" s="40" t="n">
        <f aca="false">G42+G43+G44+G45+G46+G47</f>
        <v>22282400</v>
      </c>
      <c r="H48" s="40" t="n">
        <f aca="false">H42+H43+H44+H45+H46+H47</f>
        <v>11017700</v>
      </c>
      <c r="I48" s="40" t="n">
        <f aca="false">I42+I43+I44+I45+I46+I47</f>
        <v>0</v>
      </c>
      <c r="J48" s="40" t="n">
        <f aca="false">J42+J43+J44+J45+J46+J47</f>
        <v>0</v>
      </c>
      <c r="K48" s="40" t="n">
        <f aca="false">K42+K43+K44+K45+K46+K47</f>
        <v>38335900</v>
      </c>
      <c r="L48" s="41"/>
      <c r="M48" s="41"/>
    </row>
    <row r="49" customFormat="false" ht="19.5" hidden="false" customHeight="true" outlineLevel="0" collapsed="false">
      <c r="A49" s="50" t="s">
        <v>94</v>
      </c>
      <c r="B49" s="50"/>
      <c r="C49" s="50"/>
      <c r="D49" s="50"/>
      <c r="E49" s="51" t="n">
        <f aca="false">E40-E48</f>
        <v>-5035800</v>
      </c>
      <c r="F49" s="51" t="n">
        <f aca="false">F40-F48</f>
        <v>0</v>
      </c>
      <c r="G49" s="51" t="n">
        <f aca="false">G40-G48</f>
        <v>-22282400</v>
      </c>
      <c r="H49" s="51" t="n">
        <f aca="false">H40-H48</f>
        <v>-11017700</v>
      </c>
      <c r="I49" s="51" t="n">
        <f aca="false">I40-I48</f>
        <v>0</v>
      </c>
      <c r="J49" s="51" t="n">
        <f aca="false">J40-J48</f>
        <v>0</v>
      </c>
      <c r="K49" s="51" t="n">
        <f aca="false">K40-K48</f>
        <v>-38335900</v>
      </c>
      <c r="L49" s="52"/>
      <c r="M49" s="52"/>
    </row>
    <row r="50" customFormat="false" ht="18" hidden="false" customHeight="true" outlineLevel="0" collapsed="false">
      <c r="A50" s="42" t="s">
        <v>95</v>
      </c>
      <c r="B50" s="42"/>
      <c r="C50" s="42"/>
      <c r="D50" s="42"/>
      <c r="E50" s="46" t="n">
        <v>0</v>
      </c>
      <c r="F50" s="46" t="n">
        <v>0</v>
      </c>
      <c r="G50" s="46" t="n">
        <v>0</v>
      </c>
      <c r="H50" s="46" t="n">
        <v>0</v>
      </c>
      <c r="I50" s="46" t="n">
        <v>0</v>
      </c>
      <c r="J50" s="46" t="n">
        <v>0</v>
      </c>
      <c r="K50" s="47" t="n">
        <f aca="false">SUM(E50:J50)</f>
        <v>0</v>
      </c>
      <c r="L50" s="45"/>
      <c r="M50" s="45"/>
    </row>
    <row r="51" customFormat="false" ht="4.5" hidden="false" customHeight="true" outlineLevel="0" collapsed="false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</row>
    <row r="52" customFormat="false" ht="21.75" hidden="false" customHeight="true" outlineLevel="0" collapsed="false">
      <c r="A52" s="6" t="s">
        <v>96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</row>
    <row r="53" customFormat="false" ht="21.75" hidden="false" customHeight="true" outlineLevel="0" collapsed="false">
      <c r="A53" s="7" t="s">
        <v>23</v>
      </c>
      <c r="B53" s="7" t="s">
        <v>24</v>
      </c>
      <c r="C53" s="7" t="s">
        <v>25</v>
      </c>
      <c r="D53" s="7" t="s">
        <v>26</v>
      </c>
      <c r="E53" s="7" t="s">
        <v>27</v>
      </c>
      <c r="F53" s="7" t="s">
        <v>28</v>
      </c>
      <c r="G53" s="7" t="s">
        <v>29</v>
      </c>
      <c r="H53" s="7" t="s">
        <v>30</v>
      </c>
      <c r="I53" s="7" t="s">
        <v>31</v>
      </c>
      <c r="J53" s="7" t="s">
        <v>32</v>
      </c>
      <c r="K53" s="8" t="s">
        <v>33</v>
      </c>
      <c r="L53" s="7" t="s">
        <v>34</v>
      </c>
      <c r="M53" s="7" t="s">
        <v>35</v>
      </c>
    </row>
    <row r="54" customFormat="false" ht="18" hidden="false" customHeight="true" outlineLevel="0" collapsed="false">
      <c r="A54" s="9" t="s">
        <v>36</v>
      </c>
      <c r="B54" s="9"/>
      <c r="C54" s="9"/>
      <c r="D54" s="9"/>
      <c r="E54" s="10" t="s">
        <v>37</v>
      </c>
      <c r="F54" s="10" t="s">
        <v>38</v>
      </c>
      <c r="G54" s="10" t="s">
        <v>39</v>
      </c>
      <c r="H54" s="10" t="s">
        <v>40</v>
      </c>
      <c r="I54" s="10" t="s">
        <v>41</v>
      </c>
      <c r="J54" s="10" t="s">
        <v>42</v>
      </c>
      <c r="K54" s="11"/>
      <c r="L54" s="12" t="s">
        <v>43</v>
      </c>
      <c r="M54" s="12"/>
    </row>
    <row r="55" customFormat="false" ht="18" hidden="false" customHeight="true" outlineLevel="0" collapsed="false">
      <c r="A55" s="13" t="s">
        <v>97</v>
      </c>
      <c r="B55" s="14" t="s">
        <v>98</v>
      </c>
      <c r="C55" s="13" t="s">
        <v>46</v>
      </c>
      <c r="D55" s="15" t="s">
        <v>99</v>
      </c>
      <c r="E55" s="16"/>
      <c r="F55" s="16"/>
      <c r="G55" s="16"/>
      <c r="H55" s="26" t="n">
        <v>2120000</v>
      </c>
      <c r="I55" s="16"/>
      <c r="J55" s="16"/>
      <c r="K55" s="17" t="n">
        <f aca="false">SUM(E55:J55)</f>
        <v>2120000</v>
      </c>
      <c r="L55" s="18" t="s">
        <v>100</v>
      </c>
      <c r="M55" s="19"/>
    </row>
    <row r="56" customFormat="false" ht="18" hidden="false" customHeight="true" outlineLevel="0" collapsed="false">
      <c r="A56" s="20" t="s">
        <v>97</v>
      </c>
      <c r="B56" s="21" t="s">
        <v>98</v>
      </c>
      <c r="C56" s="20" t="s">
        <v>48</v>
      </c>
      <c r="D56" s="22" t="s">
        <v>99</v>
      </c>
      <c r="E56" s="23"/>
      <c r="F56" s="23"/>
      <c r="G56" s="23"/>
      <c r="H56" s="23"/>
      <c r="I56" s="23"/>
      <c r="J56" s="23"/>
      <c r="K56" s="17" t="n">
        <f aca="false">SUM(E56:J56)</f>
        <v>0</v>
      </c>
      <c r="L56" s="24"/>
      <c r="M56" s="25"/>
    </row>
    <row r="57" customFormat="false" ht="18" hidden="false" customHeight="true" outlineLevel="0" collapsed="false">
      <c r="A57" s="13" t="s">
        <v>97</v>
      </c>
      <c r="B57" s="14" t="s">
        <v>98</v>
      </c>
      <c r="C57" s="13" t="s">
        <v>49</v>
      </c>
      <c r="D57" s="15" t="s">
        <v>99</v>
      </c>
      <c r="E57" s="16"/>
      <c r="F57" s="16"/>
      <c r="G57" s="16"/>
      <c r="H57" s="16"/>
      <c r="I57" s="16"/>
      <c r="J57" s="16"/>
      <c r="K57" s="17" t="n">
        <f aca="false">SUM(E57:J57)</f>
        <v>0</v>
      </c>
      <c r="L57" s="18"/>
      <c r="M57" s="19"/>
    </row>
    <row r="58" customFormat="false" ht="18" hidden="false" customHeight="true" outlineLevel="0" collapsed="false">
      <c r="A58" s="20" t="s">
        <v>101</v>
      </c>
      <c r="B58" s="21" t="s">
        <v>102</v>
      </c>
      <c r="C58" s="20" t="s">
        <v>46</v>
      </c>
      <c r="D58" s="22" t="s">
        <v>103</v>
      </c>
      <c r="E58" s="27" t="n">
        <v>1470000</v>
      </c>
      <c r="F58" s="23"/>
      <c r="G58" s="23"/>
      <c r="H58" s="23"/>
      <c r="I58" s="23"/>
      <c r="J58" s="23"/>
      <c r="K58" s="17" t="n">
        <f aca="false">SUM(E58:J58)</f>
        <v>1470000</v>
      </c>
      <c r="L58" s="24" t="s">
        <v>104</v>
      </c>
      <c r="M58" s="25" t="s">
        <v>105</v>
      </c>
    </row>
    <row r="59" customFormat="false" ht="18" hidden="false" customHeight="true" outlineLevel="0" collapsed="false">
      <c r="A59" s="13" t="s">
        <v>101</v>
      </c>
      <c r="B59" s="14" t="s">
        <v>102</v>
      </c>
      <c r="C59" s="13" t="s">
        <v>48</v>
      </c>
      <c r="D59" s="15" t="s">
        <v>103</v>
      </c>
      <c r="E59" s="16"/>
      <c r="F59" s="16"/>
      <c r="G59" s="16"/>
      <c r="H59" s="16"/>
      <c r="I59" s="16"/>
      <c r="J59" s="16"/>
      <c r="K59" s="17" t="n">
        <f aca="false">SUM(E59:J59)</f>
        <v>0</v>
      </c>
      <c r="L59" s="18"/>
      <c r="M59" s="19"/>
    </row>
    <row r="60" customFormat="false" ht="18" hidden="false" customHeight="true" outlineLevel="0" collapsed="false">
      <c r="A60" s="20" t="s">
        <v>101</v>
      </c>
      <c r="B60" s="21" t="s">
        <v>102</v>
      </c>
      <c r="C60" s="20" t="s">
        <v>49</v>
      </c>
      <c r="D60" s="22" t="s">
        <v>103</v>
      </c>
      <c r="E60" s="23"/>
      <c r="F60" s="23"/>
      <c r="G60" s="23"/>
      <c r="H60" s="23"/>
      <c r="I60" s="23"/>
      <c r="J60" s="23"/>
      <c r="K60" s="17" t="n">
        <f aca="false">SUM(E60:J60)</f>
        <v>0</v>
      </c>
      <c r="L60" s="24"/>
      <c r="M60" s="25"/>
    </row>
    <row r="61" customFormat="false" ht="18" hidden="false" customHeight="true" outlineLevel="0" collapsed="false">
      <c r="A61" s="28" t="s">
        <v>79</v>
      </c>
      <c r="B61" s="29" t="s">
        <v>79</v>
      </c>
      <c r="C61" s="28" t="s">
        <v>80</v>
      </c>
      <c r="D61" s="30" t="s">
        <v>80</v>
      </c>
      <c r="E61" s="31" t="n">
        <v>2740000</v>
      </c>
      <c r="F61" s="32"/>
      <c r="G61" s="32"/>
      <c r="H61" s="31" t="n">
        <v>420000</v>
      </c>
      <c r="I61" s="32"/>
      <c r="J61" s="32"/>
      <c r="K61" s="17" t="n">
        <f aca="false">SUM(E61:J61)</f>
        <v>3160000</v>
      </c>
      <c r="L61" s="33" t="s">
        <v>106</v>
      </c>
      <c r="M61" s="34"/>
    </row>
    <row r="62" customFormat="false" ht="19.5" hidden="false" customHeight="true" outlineLevel="0" collapsed="false">
      <c r="A62" s="35" t="s">
        <v>107</v>
      </c>
      <c r="B62" s="35"/>
      <c r="C62" s="35"/>
      <c r="D62" s="35"/>
      <c r="E62" s="36" t="n">
        <f aca="false">SUM(E55:E61)</f>
        <v>4210000</v>
      </c>
      <c r="F62" s="36" t="n">
        <f aca="false">SUM(F55:F61)</f>
        <v>0</v>
      </c>
      <c r="G62" s="36" t="n">
        <f aca="false">SUM(G55:G61)</f>
        <v>0</v>
      </c>
      <c r="H62" s="36" t="n">
        <f aca="false">SUM(H55:H61)</f>
        <v>2540000</v>
      </c>
      <c r="I62" s="36" t="n">
        <f aca="false">SUM(I55:I61)</f>
        <v>0</v>
      </c>
      <c r="J62" s="36" t="n">
        <f aca="false">SUM(J55:J61)</f>
        <v>0</v>
      </c>
      <c r="K62" s="36" t="n">
        <f aca="false">SUM(K55:K61)</f>
        <v>6750000</v>
      </c>
      <c r="L62" s="37"/>
      <c r="M62" s="37"/>
    </row>
    <row r="63" customFormat="false" ht="4.5" hidden="false" customHeight="true" outlineLevel="0" collapsed="false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</row>
    <row r="64" customFormat="false" ht="18" hidden="false" customHeight="true" outlineLevel="0" collapsed="false">
      <c r="A64" s="3" t="s">
        <v>108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customFormat="false" ht="18" hidden="false" customHeight="true" outlineLevel="0" collapsed="false">
      <c r="A65" s="39" t="s">
        <v>84</v>
      </c>
      <c r="B65" s="39"/>
      <c r="C65" s="39"/>
      <c r="D65" s="39"/>
      <c r="E65" s="40" t="n">
        <f aca="false">E62</f>
        <v>4210000</v>
      </c>
      <c r="F65" s="40" t="n">
        <f aca="false">F62</f>
        <v>0</v>
      </c>
      <c r="G65" s="40" t="n">
        <f aca="false">G62</f>
        <v>0</v>
      </c>
      <c r="H65" s="40" t="n">
        <f aca="false">H62</f>
        <v>2540000</v>
      </c>
      <c r="I65" s="40" t="n">
        <f aca="false">I62</f>
        <v>0</v>
      </c>
      <c r="J65" s="40" t="n">
        <f aca="false">J62</f>
        <v>0</v>
      </c>
      <c r="K65" s="40" t="n">
        <f aca="false">K62</f>
        <v>6750000</v>
      </c>
      <c r="L65" s="41"/>
      <c r="M65" s="41"/>
    </row>
    <row r="66" customFormat="false" ht="18" hidden="false" customHeight="true" outlineLevel="0" collapsed="false">
      <c r="A66" s="42" t="s">
        <v>85</v>
      </c>
      <c r="B66" s="42"/>
      <c r="C66" s="42"/>
      <c r="D66" s="42"/>
      <c r="E66" s="43" t="n">
        <v>0</v>
      </c>
      <c r="F66" s="43" t="n">
        <v>0</v>
      </c>
      <c r="G66" s="43" t="n">
        <v>0</v>
      </c>
      <c r="H66" s="43" t="n">
        <v>0</v>
      </c>
      <c r="I66" s="43" t="n">
        <v>0</v>
      </c>
      <c r="J66" s="43" t="n">
        <v>0</v>
      </c>
      <c r="K66" s="44" t="n">
        <f aca="false">SUM(E66:J66)</f>
        <v>0</v>
      </c>
      <c r="L66" s="45"/>
      <c r="M66" s="45"/>
    </row>
    <row r="67" customFormat="false" ht="18" hidden="false" customHeight="true" outlineLevel="0" collapsed="false">
      <c r="A67" s="42" t="s">
        <v>86</v>
      </c>
      <c r="B67" s="42"/>
      <c r="C67" s="42"/>
      <c r="D67" s="42"/>
      <c r="E67" s="46" t="n">
        <v>0</v>
      </c>
      <c r="F67" s="46" t="n">
        <v>0</v>
      </c>
      <c r="G67" s="46" t="n">
        <v>0</v>
      </c>
      <c r="H67" s="46" t="n">
        <v>0</v>
      </c>
      <c r="I67" s="46" t="n">
        <v>0</v>
      </c>
      <c r="J67" s="46" t="n">
        <v>0</v>
      </c>
      <c r="K67" s="47" t="n">
        <f aca="false">SUM(E67:J67)</f>
        <v>0</v>
      </c>
      <c r="L67" s="45"/>
      <c r="M67" s="45"/>
    </row>
    <row r="68" customFormat="false" ht="18" hidden="false" customHeight="true" outlineLevel="0" collapsed="false">
      <c r="A68" s="48" t="s">
        <v>87</v>
      </c>
      <c r="B68" s="48"/>
      <c r="C68" s="48"/>
      <c r="D68" s="48"/>
      <c r="E68" s="49" t="n">
        <f aca="false">SUMIFS(E55:E61,B55:B61,"BCA*")</f>
        <v>0</v>
      </c>
      <c r="F68" s="49" t="n">
        <f aca="false">SUMIFS(F55:F61,B55:B61,"BCA*")</f>
        <v>0</v>
      </c>
      <c r="G68" s="49" t="n">
        <f aca="false">SUMIFS(G55:G61,B55:B61,"BCA*")</f>
        <v>0</v>
      </c>
      <c r="H68" s="49" t="n">
        <f aca="false">SUMIFS(H55:H61,B55:B61,"BCA*")</f>
        <v>0</v>
      </c>
      <c r="I68" s="49" t="n">
        <f aca="false">SUMIFS(I55:I61,B55:B61,"BCA*")</f>
        <v>0</v>
      </c>
      <c r="J68" s="49" t="n">
        <f aca="false">SUMIFS(J55:J61,B55:B61,"BCA*")</f>
        <v>0</v>
      </c>
      <c r="K68" s="40" t="n">
        <f aca="false">SUM(E68:J68)</f>
        <v>0</v>
      </c>
      <c r="L68" s="41"/>
      <c r="M68" s="41"/>
    </row>
    <row r="69" customFormat="false" ht="18" hidden="false" customHeight="true" outlineLevel="0" collapsed="false">
      <c r="A69" s="48" t="s">
        <v>88</v>
      </c>
      <c r="B69" s="48"/>
      <c r="C69" s="48"/>
      <c r="D69" s="48"/>
      <c r="E69" s="49" t="n">
        <f aca="false">SUMIFS(E55:E61,B55:B61,"BNI*")</f>
        <v>1470000</v>
      </c>
      <c r="F69" s="49" t="n">
        <f aca="false">SUMIFS(F55:F61,B55:B61,"BNI*")</f>
        <v>0</v>
      </c>
      <c r="G69" s="49" t="n">
        <f aca="false">SUMIFS(G55:G61,B55:B61,"BNI*")</f>
        <v>0</v>
      </c>
      <c r="H69" s="49" t="n">
        <f aca="false">SUMIFS(H55:H61,B55:B61,"BNI*")</f>
        <v>2120000</v>
      </c>
      <c r="I69" s="49" t="n">
        <f aca="false">SUMIFS(I55:I61,B55:B61,"BNI*")</f>
        <v>0</v>
      </c>
      <c r="J69" s="49" t="n">
        <f aca="false">SUMIFS(J55:J61,B55:B61,"BNI*")</f>
        <v>0</v>
      </c>
      <c r="K69" s="40" t="n">
        <f aca="false">SUM(E69:J69)</f>
        <v>3590000</v>
      </c>
      <c r="L69" s="41"/>
      <c r="M69" s="41"/>
    </row>
    <row r="70" customFormat="false" ht="18" hidden="false" customHeight="true" outlineLevel="0" collapsed="false">
      <c r="A70" s="48" t="s">
        <v>89</v>
      </c>
      <c r="B70" s="48"/>
      <c r="C70" s="48"/>
      <c r="D70" s="48"/>
      <c r="E70" s="49" t="n">
        <f aca="false">SUMIFS(E55:E61,B55:B61,"BRI*")</f>
        <v>0</v>
      </c>
      <c r="F70" s="49" t="n">
        <f aca="false">SUMIFS(F55:F61,B55:B61,"BRI*")</f>
        <v>0</v>
      </c>
      <c r="G70" s="49" t="n">
        <f aca="false">SUMIFS(G55:G61,B55:B61,"BRI*")</f>
        <v>0</v>
      </c>
      <c r="H70" s="49" t="n">
        <f aca="false">SUMIFS(H55:H61,B55:B61,"BRI*")</f>
        <v>0</v>
      </c>
      <c r="I70" s="49" t="n">
        <f aca="false">SUMIFS(I55:I61,B55:B61,"BRI*")</f>
        <v>0</v>
      </c>
      <c r="J70" s="49" t="n">
        <f aca="false">SUMIFS(J55:J61,B55:B61,"BRI*")</f>
        <v>0</v>
      </c>
      <c r="K70" s="40" t="n">
        <f aca="false">SUM(E70:J70)</f>
        <v>0</v>
      </c>
      <c r="L70" s="41"/>
      <c r="M70" s="41"/>
    </row>
    <row r="71" customFormat="false" ht="18" hidden="false" customHeight="true" outlineLevel="0" collapsed="false">
      <c r="A71" s="48" t="s">
        <v>90</v>
      </c>
      <c r="B71" s="48"/>
      <c r="C71" s="48"/>
      <c r="D71" s="48"/>
      <c r="E71" s="49" t="n">
        <f aca="false">SUMIFS(E55:E61,B55:B61,"MANDIRI*")</f>
        <v>0</v>
      </c>
      <c r="F71" s="49" t="n">
        <f aca="false">SUMIFS(F55:F61,B55:B61,"MANDIRI*")</f>
        <v>0</v>
      </c>
      <c r="G71" s="49" t="n">
        <f aca="false">SUMIFS(G55:G61,B55:B61,"MANDIRI*")</f>
        <v>0</v>
      </c>
      <c r="H71" s="49" t="n">
        <f aca="false">SUMIFS(H55:H61,B55:B61,"MANDIRI*")</f>
        <v>0</v>
      </c>
      <c r="I71" s="49" t="n">
        <f aca="false">SUMIFS(I55:I61,B55:B61,"MANDIRI*")</f>
        <v>0</v>
      </c>
      <c r="J71" s="49" t="n">
        <f aca="false">SUMIFS(J55:J61,B55:B61,"MANDIRI*")</f>
        <v>0</v>
      </c>
      <c r="K71" s="40" t="n">
        <f aca="false">SUM(E71:J71)</f>
        <v>0</v>
      </c>
      <c r="L71" s="41"/>
      <c r="M71" s="41"/>
    </row>
    <row r="72" customFormat="false" ht="18" hidden="false" customHeight="true" outlineLevel="0" collapsed="false">
      <c r="A72" s="48" t="s">
        <v>91</v>
      </c>
      <c r="B72" s="48"/>
      <c r="C72" s="48"/>
      <c r="D72" s="48"/>
      <c r="E72" s="49" t="n">
        <f aca="false">SUMIFS(E55:E61,B55:B61,"VOUCHER*")</f>
        <v>0</v>
      </c>
      <c r="F72" s="49" t="n">
        <f aca="false">SUMIFS(F55:F61,B55:B61,"VOUCHER*")</f>
        <v>0</v>
      </c>
      <c r="G72" s="49" t="n">
        <f aca="false">SUMIFS(G55:G61,B55:B61,"VOUCHER*")</f>
        <v>0</v>
      </c>
      <c r="H72" s="49" t="n">
        <f aca="false">SUMIFS(H55:H61,B55:B61,"VOUCHER*")</f>
        <v>0</v>
      </c>
      <c r="I72" s="49" t="n">
        <f aca="false">SUMIFS(I55:I61,B55:B61,"VOUCHER*")</f>
        <v>0</v>
      </c>
      <c r="J72" s="49" t="n">
        <f aca="false">SUMIFS(J55:J61,B55:B61,"VOUCHER*")</f>
        <v>0</v>
      </c>
      <c r="K72" s="40" t="n">
        <f aca="false">SUM(E72:J72)</f>
        <v>0</v>
      </c>
      <c r="L72" s="41"/>
      <c r="M72" s="41"/>
    </row>
    <row r="73" customFormat="false" ht="18" hidden="false" customHeight="true" outlineLevel="0" collapsed="false">
      <c r="A73" s="39" t="s">
        <v>92</v>
      </c>
      <c r="B73" s="39"/>
      <c r="C73" s="39"/>
      <c r="D73" s="39"/>
      <c r="E73" s="40" t="n">
        <f aca="false">E61</f>
        <v>2740000</v>
      </c>
      <c r="F73" s="40" t="n">
        <f aca="false">F61</f>
        <v>0</v>
      </c>
      <c r="G73" s="40" t="n">
        <f aca="false">G61</f>
        <v>0</v>
      </c>
      <c r="H73" s="40" t="n">
        <f aca="false">H61</f>
        <v>420000</v>
      </c>
      <c r="I73" s="40" t="n">
        <f aca="false">I61</f>
        <v>0</v>
      </c>
      <c r="J73" s="40" t="n">
        <f aca="false">J61</f>
        <v>0</v>
      </c>
      <c r="K73" s="40" t="n">
        <f aca="false">K61</f>
        <v>3160000</v>
      </c>
      <c r="L73" s="41"/>
      <c r="M73" s="41"/>
    </row>
    <row r="74" customFormat="false" ht="19.5" hidden="false" customHeight="true" outlineLevel="0" collapsed="false">
      <c r="A74" s="39" t="s">
        <v>93</v>
      </c>
      <c r="B74" s="39"/>
      <c r="C74" s="39"/>
      <c r="D74" s="39"/>
      <c r="E74" s="40" t="n">
        <f aca="false">E68+E69+E70+E71+E72+E73</f>
        <v>4210000</v>
      </c>
      <c r="F74" s="40" t="n">
        <f aca="false">F68+F69+F70+F71+F72+F73</f>
        <v>0</v>
      </c>
      <c r="G74" s="40" t="n">
        <f aca="false">G68+G69+G70+G71+G72+G73</f>
        <v>0</v>
      </c>
      <c r="H74" s="40" t="n">
        <f aca="false">H68+H69+H70+H71+H72+H73</f>
        <v>2540000</v>
      </c>
      <c r="I74" s="40" t="n">
        <f aca="false">I68+I69+I70+I71+I72+I73</f>
        <v>0</v>
      </c>
      <c r="J74" s="40" t="n">
        <f aca="false">J68+J69+J70+J71+J72+J73</f>
        <v>0</v>
      </c>
      <c r="K74" s="40" t="n">
        <f aca="false">K68+K69+K70+K71+K72+K73</f>
        <v>6750000</v>
      </c>
      <c r="L74" s="41"/>
      <c r="M74" s="41"/>
    </row>
    <row r="75" customFormat="false" ht="19.5" hidden="false" customHeight="true" outlineLevel="0" collapsed="false">
      <c r="A75" s="50" t="s">
        <v>94</v>
      </c>
      <c r="B75" s="50"/>
      <c r="C75" s="50"/>
      <c r="D75" s="50"/>
      <c r="E75" s="51" t="n">
        <f aca="false">E66-E74</f>
        <v>-4210000</v>
      </c>
      <c r="F75" s="51" t="n">
        <f aca="false">F66-F74</f>
        <v>0</v>
      </c>
      <c r="G75" s="51" t="n">
        <f aca="false">G66-G74</f>
        <v>0</v>
      </c>
      <c r="H75" s="51" t="n">
        <f aca="false">H66-H74</f>
        <v>-2540000</v>
      </c>
      <c r="I75" s="51" t="n">
        <f aca="false">I66-I74</f>
        <v>0</v>
      </c>
      <c r="J75" s="51" t="n">
        <f aca="false">J66-J74</f>
        <v>0</v>
      </c>
      <c r="K75" s="51" t="n">
        <f aca="false">K66-K74</f>
        <v>-6750000</v>
      </c>
      <c r="L75" s="52"/>
      <c r="M75" s="52"/>
    </row>
    <row r="76" customFormat="false" ht="18" hidden="false" customHeight="true" outlineLevel="0" collapsed="false">
      <c r="A76" s="42" t="s">
        <v>95</v>
      </c>
      <c r="B76" s="42"/>
      <c r="C76" s="42"/>
      <c r="D76" s="42"/>
      <c r="E76" s="46" t="n">
        <v>0</v>
      </c>
      <c r="F76" s="46" t="n">
        <v>0</v>
      </c>
      <c r="G76" s="46" t="n">
        <v>0</v>
      </c>
      <c r="H76" s="46" t="n">
        <v>0</v>
      </c>
      <c r="I76" s="46" t="n">
        <v>0</v>
      </c>
      <c r="J76" s="46" t="n">
        <v>0</v>
      </c>
      <c r="K76" s="47" t="n">
        <f aca="false">SUM(E76:J76)</f>
        <v>0</v>
      </c>
      <c r="L76" s="45"/>
      <c r="M76" s="45"/>
    </row>
    <row r="77" customFormat="false" ht="4.5" hidden="false" customHeight="true" outlineLevel="0" collapsed="false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</row>
    <row r="78" customFormat="false" ht="25.5" hidden="false" customHeight="true" outlineLevel="0" collapsed="false">
      <c r="A78" s="53" t="s">
        <v>109</v>
      </c>
      <c r="B78" s="53"/>
      <c r="C78" s="53"/>
      <c r="D78" s="53"/>
      <c r="E78" s="54" t="n">
        <f aca="false">E39+E65</f>
        <v>9245800</v>
      </c>
      <c r="F78" s="54" t="n">
        <f aca="false">F39+F65</f>
        <v>0</v>
      </c>
      <c r="G78" s="54" t="n">
        <f aca="false">G39+G65</f>
        <v>22282400</v>
      </c>
      <c r="H78" s="54" t="n">
        <f aca="false">H39+H65</f>
        <v>13557700</v>
      </c>
      <c r="I78" s="54" t="n">
        <f aca="false">I39+I65</f>
        <v>0</v>
      </c>
      <c r="J78" s="54" t="n">
        <f aca="false">J39+J65</f>
        <v>0</v>
      </c>
      <c r="K78" s="54" t="n">
        <f aca="false">K39+K65</f>
        <v>45085900</v>
      </c>
      <c r="L78" s="55"/>
      <c r="M78" s="55"/>
    </row>
    <row r="79" customFormat="false" ht="4.5" hidden="false" customHeight="true" outlineLevel="0" collapsed="false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</row>
    <row r="80" customFormat="false" ht="18" hidden="false" customHeight="true" outlineLevel="0" collapsed="false">
      <c r="A80" s="56" t="s">
        <v>110</v>
      </c>
      <c r="B80" s="56"/>
      <c r="C80" s="56"/>
      <c r="D80" s="56"/>
      <c r="E80" s="56"/>
      <c r="F80" s="56"/>
      <c r="H80" s="56" t="s">
        <v>111</v>
      </c>
      <c r="I80" s="56"/>
      <c r="J80" s="56"/>
      <c r="K80" s="56"/>
      <c r="L80" s="56"/>
      <c r="M80" s="56"/>
    </row>
    <row r="81" customFormat="false" ht="18" hidden="false" customHeight="true" outlineLevel="0" collapsed="false">
      <c r="A81" s="57" t="s">
        <v>112</v>
      </c>
      <c r="B81" s="57"/>
      <c r="C81" s="57"/>
      <c r="D81" s="57"/>
      <c r="E81" s="57"/>
      <c r="F81" s="57"/>
      <c r="H81" s="57" t="s">
        <v>112</v>
      </c>
      <c r="I81" s="57"/>
      <c r="J81" s="57"/>
      <c r="K81" s="57"/>
      <c r="L81" s="57"/>
      <c r="M81" s="57"/>
    </row>
    <row r="82" customFormat="false" ht="39.75" hidden="false" customHeight="true" outlineLevel="0" collapsed="false">
      <c r="A82" s="57" t="s">
        <v>113</v>
      </c>
      <c r="B82" s="57"/>
      <c r="C82" s="57"/>
      <c r="D82" s="57"/>
      <c r="E82" s="57"/>
      <c r="F82" s="57"/>
      <c r="H82" s="57" t="s">
        <v>113</v>
      </c>
      <c r="I82" s="57"/>
      <c r="J82" s="57"/>
      <c r="K82" s="57"/>
      <c r="L82" s="57"/>
      <c r="M82" s="57"/>
    </row>
  </sheetData>
  <mergeCells count="46">
    <mergeCell ref="A1:M1"/>
    <mergeCell ref="A3:D3"/>
    <mergeCell ref="L3:M3"/>
    <mergeCell ref="A36:D36"/>
    <mergeCell ref="A37:M37"/>
    <mergeCell ref="A38:M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M51"/>
    <mergeCell ref="A52:M52"/>
    <mergeCell ref="A54:D54"/>
    <mergeCell ref="L54:M54"/>
    <mergeCell ref="A62:D62"/>
    <mergeCell ref="A63:M63"/>
    <mergeCell ref="A64:M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M77"/>
    <mergeCell ref="A78:D78"/>
    <mergeCell ref="A79:M79"/>
    <mergeCell ref="A80:F80"/>
    <mergeCell ref="H80:M80"/>
    <mergeCell ref="A81:F81"/>
    <mergeCell ref="H81:M81"/>
    <mergeCell ref="A82:F82"/>
    <mergeCell ref="H82:M82"/>
  </mergeCells>
  <dataValidations count="2">
    <dataValidation allowBlank="true" error="Hanya: QR, DEBIT, KK" errorStyle="stop" errorTitle="Jenis Tidak Valid" operator="between" showDropDown="false" showErrorMessage="true" showInputMessage="false" sqref="C1:C500" type="list">
      <formula1>"QR,DEBIT,KK,-"</formula1>
      <formula2>0</formula2>
    </dataValidation>
    <dataValidation allowBlank="true" error="Pilih dari daftar." errorStyle="stop" errorTitle="Entitas Tidak Valid" operator="between" showDropDown="false" showErrorMessage="true" showInputMessage="false" sqref="D1:D500" type="list">
      <formula1>"PT CAHAYA MENTARI BERSINAR,CV BERKAT JAYA BAHAGIA,CV TUNAS MUDA KREASI,CV KARYA BERSAMA ANUGERAH,-"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2"/>
    <col collapsed="false" customWidth="true" hidden="false" outlineLevel="0" max="3" min="3" style="1" width="8"/>
    <col collapsed="false" customWidth="true" hidden="false" outlineLevel="0" max="4" min="4" style="1" width="28"/>
    <col collapsed="false" customWidth="true" hidden="false" outlineLevel="0" max="10" min="5" style="1" width="13"/>
    <col collapsed="false" customWidth="true" hidden="false" outlineLevel="0" max="11" min="11" style="1" width="16"/>
    <col collapsed="false" customWidth="true" hidden="false" outlineLevel="0" max="12" min="12" style="1" width="28"/>
    <col collapsed="false" customWidth="true" hidden="false" outlineLevel="0" max="13" min="13" style="1" width="38"/>
  </cols>
  <sheetData>
    <row r="1" customFormat="false" ht="21.75" hidden="false" customHeight="true" outlineLevel="0" collapsed="false">
      <c r="A1" s="6" t="s">
        <v>114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customFormat="false" ht="21.75" hidden="false" customHeight="true" outlineLevel="0" collapsed="false">
      <c r="A2" s="7" t="s">
        <v>23</v>
      </c>
      <c r="B2" s="7" t="s">
        <v>24</v>
      </c>
      <c r="C2" s="7" t="s">
        <v>25</v>
      </c>
      <c r="D2" s="7" t="s">
        <v>26</v>
      </c>
      <c r="E2" s="7" t="s">
        <v>27</v>
      </c>
      <c r="F2" s="7" t="s">
        <v>28</v>
      </c>
      <c r="G2" s="7" t="s">
        <v>29</v>
      </c>
      <c r="H2" s="7" t="s">
        <v>30</v>
      </c>
      <c r="I2" s="7" t="s">
        <v>31</v>
      </c>
      <c r="J2" s="7" t="s">
        <v>32</v>
      </c>
      <c r="K2" s="8" t="s">
        <v>33</v>
      </c>
      <c r="L2" s="7" t="s">
        <v>34</v>
      </c>
      <c r="M2" s="7" t="s">
        <v>35</v>
      </c>
    </row>
    <row r="3" customFormat="false" ht="18" hidden="false" customHeight="true" outlineLevel="0" collapsed="false">
      <c r="A3" s="9" t="s">
        <v>36</v>
      </c>
      <c r="B3" s="9"/>
      <c r="C3" s="9"/>
      <c r="D3" s="9"/>
      <c r="E3" s="10" t="s">
        <v>39</v>
      </c>
      <c r="F3" s="10" t="s">
        <v>38</v>
      </c>
      <c r="G3" s="10" t="s">
        <v>115</v>
      </c>
      <c r="H3" s="10" t="s">
        <v>116</v>
      </c>
      <c r="I3" s="10" t="s">
        <v>41</v>
      </c>
      <c r="J3" s="10" t="s">
        <v>42</v>
      </c>
      <c r="K3" s="11"/>
      <c r="L3" s="12" t="s">
        <v>43</v>
      </c>
      <c r="M3" s="12"/>
    </row>
    <row r="4" customFormat="false" ht="18" hidden="false" customHeight="true" outlineLevel="0" collapsed="false">
      <c r="A4" s="13" t="s">
        <v>44</v>
      </c>
      <c r="B4" s="14" t="s">
        <v>117</v>
      </c>
      <c r="C4" s="13" t="s">
        <v>46</v>
      </c>
      <c r="D4" s="15" t="s">
        <v>47</v>
      </c>
      <c r="E4" s="16"/>
      <c r="F4" s="16"/>
      <c r="G4" s="16"/>
      <c r="H4" s="16"/>
      <c r="I4" s="16"/>
      <c r="J4" s="16"/>
      <c r="K4" s="17" t="n">
        <f aca="false">SUM(E4:J4)</f>
        <v>0</v>
      </c>
      <c r="L4" s="18"/>
      <c r="M4" s="19"/>
    </row>
    <row r="5" customFormat="false" ht="18" hidden="false" customHeight="true" outlineLevel="0" collapsed="false">
      <c r="A5" s="20" t="s">
        <v>44</v>
      </c>
      <c r="B5" s="21" t="s">
        <v>117</v>
      </c>
      <c r="C5" s="20" t="s">
        <v>48</v>
      </c>
      <c r="D5" s="22" t="s">
        <v>47</v>
      </c>
      <c r="E5" s="23"/>
      <c r="F5" s="23"/>
      <c r="G5" s="23"/>
      <c r="H5" s="23"/>
      <c r="I5" s="23"/>
      <c r="J5" s="23"/>
      <c r="K5" s="17" t="n">
        <f aca="false">SUM(E5:J5)</f>
        <v>0</v>
      </c>
      <c r="L5" s="24"/>
      <c r="M5" s="25"/>
    </row>
    <row r="6" customFormat="false" ht="18" hidden="false" customHeight="true" outlineLevel="0" collapsed="false">
      <c r="A6" s="13" t="s">
        <v>44</v>
      </c>
      <c r="B6" s="14" t="s">
        <v>117</v>
      </c>
      <c r="C6" s="13" t="s">
        <v>49</v>
      </c>
      <c r="D6" s="15" t="s">
        <v>47</v>
      </c>
      <c r="E6" s="16"/>
      <c r="F6" s="16"/>
      <c r="G6" s="16"/>
      <c r="H6" s="16"/>
      <c r="I6" s="16"/>
      <c r="J6" s="16"/>
      <c r="K6" s="17" t="n">
        <f aca="false">SUM(E6:J6)</f>
        <v>0</v>
      </c>
      <c r="L6" s="18"/>
      <c r="M6" s="19"/>
    </row>
    <row r="7" customFormat="false" ht="18" hidden="false" customHeight="true" outlineLevel="0" collapsed="false">
      <c r="A7" s="20" t="s">
        <v>44</v>
      </c>
      <c r="B7" s="21" t="s">
        <v>51</v>
      </c>
      <c r="C7" s="20" t="s">
        <v>46</v>
      </c>
      <c r="D7" s="22" t="s">
        <v>47</v>
      </c>
      <c r="E7" s="27" t="n">
        <v>100000</v>
      </c>
      <c r="F7" s="23"/>
      <c r="G7" s="23"/>
      <c r="H7" s="23"/>
      <c r="I7" s="23"/>
      <c r="J7" s="23"/>
      <c r="K7" s="17" t="n">
        <f aca="false">SUM(E7:J7)</f>
        <v>100000</v>
      </c>
      <c r="L7" s="24" t="s">
        <v>118</v>
      </c>
      <c r="M7" s="25"/>
    </row>
    <row r="8" customFormat="false" ht="18" hidden="false" customHeight="true" outlineLevel="0" collapsed="false">
      <c r="A8" s="13" t="s">
        <v>44</v>
      </c>
      <c r="B8" s="14" t="s">
        <v>51</v>
      </c>
      <c r="C8" s="13" t="s">
        <v>48</v>
      </c>
      <c r="D8" s="15" t="s">
        <v>47</v>
      </c>
      <c r="E8" s="16"/>
      <c r="F8" s="16"/>
      <c r="G8" s="16"/>
      <c r="H8" s="16"/>
      <c r="I8" s="16"/>
      <c r="J8" s="16"/>
      <c r="K8" s="17" t="n">
        <f aca="false">SUM(E8:J8)</f>
        <v>0</v>
      </c>
      <c r="L8" s="18"/>
      <c r="M8" s="19"/>
    </row>
    <row r="9" customFormat="false" ht="18" hidden="false" customHeight="true" outlineLevel="0" collapsed="false">
      <c r="A9" s="20" t="s">
        <v>44</v>
      </c>
      <c r="B9" s="21" t="s">
        <v>51</v>
      </c>
      <c r="C9" s="20" t="s">
        <v>49</v>
      </c>
      <c r="D9" s="22" t="s">
        <v>47</v>
      </c>
      <c r="E9" s="23"/>
      <c r="F9" s="23"/>
      <c r="G9" s="23"/>
      <c r="H9" s="23"/>
      <c r="I9" s="23"/>
      <c r="J9" s="23"/>
      <c r="K9" s="17" t="n">
        <f aca="false">SUM(E9:J9)</f>
        <v>0</v>
      </c>
      <c r="L9" s="24"/>
      <c r="M9" s="25"/>
    </row>
    <row r="10" customFormat="false" ht="18" hidden="false" customHeight="true" outlineLevel="0" collapsed="false">
      <c r="A10" s="13" t="s">
        <v>56</v>
      </c>
      <c r="B10" s="14" t="s">
        <v>119</v>
      </c>
      <c r="C10" s="13" t="s">
        <v>46</v>
      </c>
      <c r="D10" s="15" t="s">
        <v>47</v>
      </c>
      <c r="E10" s="16"/>
      <c r="F10" s="16"/>
      <c r="G10" s="16"/>
      <c r="H10" s="16"/>
      <c r="I10" s="16"/>
      <c r="J10" s="16"/>
      <c r="K10" s="17" t="n">
        <f aca="false">SUM(E10:J10)</f>
        <v>0</v>
      </c>
      <c r="L10" s="18"/>
      <c r="M10" s="19"/>
    </row>
    <row r="11" customFormat="false" ht="18" hidden="false" customHeight="true" outlineLevel="0" collapsed="false">
      <c r="A11" s="20" t="s">
        <v>56</v>
      </c>
      <c r="B11" s="21" t="s">
        <v>119</v>
      </c>
      <c r="C11" s="20" t="s">
        <v>48</v>
      </c>
      <c r="D11" s="22" t="s">
        <v>47</v>
      </c>
      <c r="E11" s="23"/>
      <c r="F11" s="23"/>
      <c r="G11" s="23"/>
      <c r="H11" s="23"/>
      <c r="I11" s="23"/>
      <c r="J11" s="23"/>
      <c r="K11" s="17" t="n">
        <f aca="false">SUM(E11:J11)</f>
        <v>0</v>
      </c>
      <c r="L11" s="24"/>
      <c r="M11" s="25"/>
    </row>
    <row r="12" customFormat="false" ht="18" hidden="false" customHeight="true" outlineLevel="0" collapsed="false">
      <c r="A12" s="13" t="s">
        <v>56</v>
      </c>
      <c r="B12" s="14" t="s">
        <v>119</v>
      </c>
      <c r="C12" s="13" t="s">
        <v>49</v>
      </c>
      <c r="D12" s="15" t="s">
        <v>47</v>
      </c>
      <c r="E12" s="26" t="n">
        <v>1095100</v>
      </c>
      <c r="F12" s="16"/>
      <c r="G12" s="16"/>
      <c r="H12" s="16"/>
      <c r="I12" s="16"/>
      <c r="J12" s="16"/>
      <c r="K12" s="17" t="n">
        <f aca="false">SUM(E12:J12)</f>
        <v>1095100</v>
      </c>
      <c r="L12" s="18" t="s">
        <v>120</v>
      </c>
      <c r="M12" s="19"/>
    </row>
    <row r="13" customFormat="false" ht="18" hidden="false" customHeight="true" outlineLevel="0" collapsed="false">
      <c r="A13" s="20" t="s">
        <v>72</v>
      </c>
      <c r="B13" s="21" t="s">
        <v>121</v>
      </c>
      <c r="C13" s="20" t="s">
        <v>46</v>
      </c>
      <c r="D13" s="22" t="s">
        <v>47</v>
      </c>
      <c r="E13" s="23"/>
      <c r="F13" s="23"/>
      <c r="G13" s="23"/>
      <c r="H13" s="23"/>
      <c r="I13" s="23"/>
      <c r="J13" s="23"/>
      <c r="K13" s="17" t="n">
        <f aca="false">SUM(E13:J13)</f>
        <v>0</v>
      </c>
      <c r="L13" s="24"/>
      <c r="M13" s="25"/>
    </row>
    <row r="14" customFormat="false" ht="18" hidden="false" customHeight="true" outlineLevel="0" collapsed="false">
      <c r="A14" s="13" t="s">
        <v>72</v>
      </c>
      <c r="B14" s="14" t="s">
        <v>121</v>
      </c>
      <c r="C14" s="13" t="s">
        <v>48</v>
      </c>
      <c r="D14" s="15" t="s">
        <v>47</v>
      </c>
      <c r="E14" s="16"/>
      <c r="F14" s="16"/>
      <c r="G14" s="16"/>
      <c r="H14" s="16"/>
      <c r="I14" s="16"/>
      <c r="J14" s="16"/>
      <c r="K14" s="17" t="n">
        <f aca="false">SUM(E14:J14)</f>
        <v>0</v>
      </c>
      <c r="L14" s="18"/>
      <c r="M14" s="19"/>
    </row>
    <row r="15" customFormat="false" ht="18" hidden="false" customHeight="true" outlineLevel="0" collapsed="false">
      <c r="A15" s="20" t="s">
        <v>72</v>
      </c>
      <c r="B15" s="21" t="s">
        <v>121</v>
      </c>
      <c r="C15" s="20" t="s">
        <v>49</v>
      </c>
      <c r="D15" s="22" t="s">
        <v>47</v>
      </c>
      <c r="E15" s="23"/>
      <c r="F15" s="23"/>
      <c r="G15" s="23"/>
      <c r="H15" s="27" t="n">
        <v>3702700</v>
      </c>
      <c r="I15" s="23"/>
      <c r="J15" s="23"/>
      <c r="K15" s="17" t="n">
        <f aca="false">SUM(E15:J15)</f>
        <v>3702700</v>
      </c>
      <c r="L15" s="24" t="s">
        <v>122</v>
      </c>
      <c r="M15" s="25"/>
    </row>
    <row r="16" customFormat="false" ht="18" hidden="false" customHeight="true" outlineLevel="0" collapsed="false">
      <c r="A16" s="13" t="s">
        <v>65</v>
      </c>
      <c r="B16" s="14" t="s">
        <v>66</v>
      </c>
      <c r="C16" s="13" t="s">
        <v>46</v>
      </c>
      <c r="D16" s="15" t="s">
        <v>47</v>
      </c>
      <c r="E16" s="16"/>
      <c r="F16" s="16"/>
      <c r="G16" s="16"/>
      <c r="H16" s="16"/>
      <c r="I16" s="16"/>
      <c r="J16" s="16"/>
      <c r="K16" s="17" t="n">
        <f aca="false">SUM(E16:J16)</f>
        <v>0</v>
      </c>
      <c r="L16" s="18"/>
      <c r="M16" s="19"/>
    </row>
    <row r="17" customFormat="false" ht="18" hidden="false" customHeight="true" outlineLevel="0" collapsed="false">
      <c r="A17" s="20" t="s">
        <v>65</v>
      </c>
      <c r="B17" s="21" t="s">
        <v>66</v>
      </c>
      <c r="C17" s="20" t="s">
        <v>48</v>
      </c>
      <c r="D17" s="22" t="s">
        <v>47</v>
      </c>
      <c r="E17" s="23"/>
      <c r="F17" s="23"/>
      <c r="G17" s="27" t="n">
        <v>665500</v>
      </c>
      <c r="H17" s="23"/>
      <c r="I17" s="23"/>
      <c r="J17" s="23"/>
      <c r="K17" s="17" t="n">
        <f aca="false">SUM(E17:J17)</f>
        <v>665500</v>
      </c>
      <c r="L17" s="24" t="s">
        <v>123</v>
      </c>
      <c r="M17" s="25"/>
    </row>
    <row r="18" customFormat="false" ht="18" hidden="false" customHeight="true" outlineLevel="0" collapsed="false">
      <c r="A18" s="13" t="s">
        <v>65</v>
      </c>
      <c r="B18" s="14" t="s">
        <v>66</v>
      </c>
      <c r="C18" s="13" t="s">
        <v>49</v>
      </c>
      <c r="D18" s="15" t="s">
        <v>47</v>
      </c>
      <c r="E18" s="16"/>
      <c r="F18" s="16"/>
      <c r="G18" s="26" t="n">
        <v>1107200</v>
      </c>
      <c r="H18" s="16"/>
      <c r="I18" s="16"/>
      <c r="J18" s="16"/>
      <c r="K18" s="17" t="n">
        <f aca="false">SUM(E18:J18)</f>
        <v>1107200</v>
      </c>
      <c r="L18" s="18" t="s">
        <v>124</v>
      </c>
      <c r="M18" s="19"/>
    </row>
    <row r="19" customFormat="false" ht="18" hidden="false" customHeight="true" outlineLevel="0" collapsed="false">
      <c r="A19" s="28" t="s">
        <v>79</v>
      </c>
      <c r="B19" s="29" t="s">
        <v>79</v>
      </c>
      <c r="C19" s="28" t="s">
        <v>80</v>
      </c>
      <c r="D19" s="30" t="s">
        <v>80</v>
      </c>
      <c r="E19" s="31" t="n">
        <v>100000</v>
      </c>
      <c r="F19" s="32"/>
      <c r="G19" s="31" t="n">
        <v>1294700</v>
      </c>
      <c r="H19" s="31" t="n">
        <v>3401500</v>
      </c>
      <c r="I19" s="31" t="n">
        <v>300000</v>
      </c>
      <c r="J19" s="32"/>
      <c r="K19" s="17" t="n">
        <f aca="false">SUM(E19:J19)</f>
        <v>5096200</v>
      </c>
      <c r="L19" s="33" t="s">
        <v>125</v>
      </c>
      <c r="M19" s="34"/>
    </row>
    <row r="20" customFormat="false" ht="19.5" hidden="false" customHeight="true" outlineLevel="0" collapsed="false">
      <c r="A20" s="35" t="s">
        <v>82</v>
      </c>
      <c r="B20" s="35"/>
      <c r="C20" s="35"/>
      <c r="D20" s="35"/>
      <c r="E20" s="36" t="n">
        <f aca="false">SUM(E4:E19)</f>
        <v>1295100</v>
      </c>
      <c r="F20" s="36" t="n">
        <f aca="false">SUM(F4:F19)</f>
        <v>0</v>
      </c>
      <c r="G20" s="36" t="n">
        <f aca="false">SUM(G4:G19)</f>
        <v>3067400</v>
      </c>
      <c r="H20" s="36" t="n">
        <f aca="false">SUM(H4:H19)</f>
        <v>7104200</v>
      </c>
      <c r="I20" s="36" t="n">
        <f aca="false">SUM(I4:I19)</f>
        <v>300000</v>
      </c>
      <c r="J20" s="36" t="n">
        <f aca="false">SUM(J4:J19)</f>
        <v>0</v>
      </c>
      <c r="K20" s="36" t="n">
        <f aca="false">SUM(K4:K19)</f>
        <v>11766700</v>
      </c>
      <c r="L20" s="37"/>
      <c r="M20" s="37"/>
    </row>
    <row r="21" customFormat="false" ht="4.5" hidden="false" customHeight="true" outlineLevel="0" collapsed="false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</row>
    <row r="22" customFormat="false" ht="18" hidden="false" customHeight="true" outlineLevel="0" collapsed="false">
      <c r="A22" s="3" t="s">
        <v>83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customFormat="false" ht="18" hidden="false" customHeight="true" outlineLevel="0" collapsed="false">
      <c r="A23" s="39" t="s">
        <v>84</v>
      </c>
      <c r="B23" s="39"/>
      <c r="C23" s="39"/>
      <c r="D23" s="39"/>
      <c r="E23" s="40" t="n">
        <f aca="false">E20</f>
        <v>1295100</v>
      </c>
      <c r="F23" s="40" t="n">
        <f aca="false">F20</f>
        <v>0</v>
      </c>
      <c r="G23" s="40" t="n">
        <f aca="false">G20</f>
        <v>3067400</v>
      </c>
      <c r="H23" s="40" t="n">
        <f aca="false">H20</f>
        <v>7104200</v>
      </c>
      <c r="I23" s="40" t="n">
        <f aca="false">I20</f>
        <v>300000</v>
      </c>
      <c r="J23" s="40" t="n">
        <f aca="false">J20</f>
        <v>0</v>
      </c>
      <c r="K23" s="40" t="n">
        <f aca="false">K20</f>
        <v>11766700</v>
      </c>
      <c r="L23" s="41"/>
      <c r="M23" s="41"/>
    </row>
    <row r="24" customFormat="false" ht="18" hidden="false" customHeight="true" outlineLevel="0" collapsed="false">
      <c r="A24" s="42" t="s">
        <v>85</v>
      </c>
      <c r="B24" s="42"/>
      <c r="C24" s="42"/>
      <c r="D24" s="42"/>
      <c r="E24" s="43" t="n">
        <v>0</v>
      </c>
      <c r="F24" s="43" t="n">
        <v>0</v>
      </c>
      <c r="G24" s="43" t="n">
        <v>0</v>
      </c>
      <c r="H24" s="43" t="n">
        <v>0</v>
      </c>
      <c r="I24" s="43" t="n">
        <v>0</v>
      </c>
      <c r="J24" s="43" t="n">
        <v>0</v>
      </c>
      <c r="K24" s="44" t="n">
        <f aca="false">SUM(E24:J24)</f>
        <v>0</v>
      </c>
      <c r="L24" s="45"/>
      <c r="M24" s="45"/>
    </row>
    <row r="25" customFormat="false" ht="18" hidden="false" customHeight="true" outlineLevel="0" collapsed="false">
      <c r="A25" s="42" t="s">
        <v>86</v>
      </c>
      <c r="B25" s="42"/>
      <c r="C25" s="42"/>
      <c r="D25" s="42"/>
      <c r="E25" s="46" t="n">
        <v>0</v>
      </c>
      <c r="F25" s="46" t="n">
        <v>0</v>
      </c>
      <c r="G25" s="46" t="n">
        <v>0</v>
      </c>
      <c r="H25" s="46" t="n">
        <v>0</v>
      </c>
      <c r="I25" s="46" t="n">
        <v>0</v>
      </c>
      <c r="J25" s="46" t="n">
        <v>0</v>
      </c>
      <c r="K25" s="47" t="n">
        <f aca="false">SUM(E25:J25)</f>
        <v>0</v>
      </c>
      <c r="L25" s="45"/>
      <c r="M25" s="45"/>
    </row>
    <row r="26" customFormat="false" ht="18" hidden="false" customHeight="true" outlineLevel="0" collapsed="false">
      <c r="A26" s="48" t="s">
        <v>87</v>
      </c>
      <c r="B26" s="48"/>
      <c r="C26" s="48"/>
      <c r="D26" s="48"/>
      <c r="E26" s="49" t="n">
        <f aca="false">SUMIFS(E4:E19,B4:B19,"BCA*")</f>
        <v>100000</v>
      </c>
      <c r="F26" s="49" t="n">
        <f aca="false">SUMIFS(F4:F19,B4:B19,"BCA*")</f>
        <v>0</v>
      </c>
      <c r="G26" s="49" t="n">
        <f aca="false">SUMIFS(G4:G19,B4:B19,"BCA*")</f>
        <v>0</v>
      </c>
      <c r="H26" s="49" t="n">
        <f aca="false">SUMIFS(H4:H19,B4:B19,"BCA*")</f>
        <v>0</v>
      </c>
      <c r="I26" s="49" t="n">
        <f aca="false">SUMIFS(I4:I19,B4:B19,"BCA*")</f>
        <v>0</v>
      </c>
      <c r="J26" s="49" t="n">
        <f aca="false">SUMIFS(J4:J19,B4:B19,"BCA*")</f>
        <v>0</v>
      </c>
      <c r="K26" s="40" t="n">
        <f aca="false">SUM(E26:J26)</f>
        <v>100000</v>
      </c>
      <c r="L26" s="41"/>
      <c r="M26" s="41"/>
    </row>
    <row r="27" customFormat="false" ht="18" hidden="false" customHeight="true" outlineLevel="0" collapsed="false">
      <c r="A27" s="48" t="s">
        <v>88</v>
      </c>
      <c r="B27" s="48"/>
      <c r="C27" s="48"/>
      <c r="D27" s="48"/>
      <c r="E27" s="49" t="n">
        <f aca="false">SUMIFS(E4:E19,B4:B19,"BNI*")</f>
        <v>0</v>
      </c>
      <c r="F27" s="49" t="n">
        <f aca="false">SUMIFS(F4:F19,B4:B19,"BNI*")</f>
        <v>0</v>
      </c>
      <c r="G27" s="49" t="n">
        <f aca="false">SUMIFS(G4:G19,B4:B19,"BNI*")</f>
        <v>1772700</v>
      </c>
      <c r="H27" s="49" t="n">
        <f aca="false">SUMIFS(H4:H19,B4:B19,"BNI*")</f>
        <v>0</v>
      </c>
      <c r="I27" s="49" t="n">
        <f aca="false">SUMIFS(I4:I19,B4:B19,"BNI*")</f>
        <v>0</v>
      </c>
      <c r="J27" s="49" t="n">
        <f aca="false">SUMIFS(J4:J19,B4:B19,"BNI*")</f>
        <v>0</v>
      </c>
      <c r="K27" s="40" t="n">
        <f aca="false">SUM(E27:J27)</f>
        <v>1772700</v>
      </c>
      <c r="L27" s="41"/>
      <c r="M27" s="41"/>
    </row>
    <row r="28" customFormat="false" ht="18" hidden="false" customHeight="true" outlineLevel="0" collapsed="false">
      <c r="A28" s="48" t="s">
        <v>89</v>
      </c>
      <c r="B28" s="48"/>
      <c r="C28" s="48"/>
      <c r="D28" s="48"/>
      <c r="E28" s="49" t="n">
        <f aca="false">SUMIFS(E4:E19,B4:B19,"BRI*")</f>
        <v>0</v>
      </c>
      <c r="F28" s="49" t="n">
        <f aca="false">SUMIFS(F4:F19,B4:B19,"BRI*")</f>
        <v>0</v>
      </c>
      <c r="G28" s="49" t="n">
        <f aca="false">SUMIFS(G4:G19,B4:B19,"BRI*")</f>
        <v>0</v>
      </c>
      <c r="H28" s="49" t="n">
        <f aca="false">SUMIFS(H4:H19,B4:B19,"BRI*")</f>
        <v>3702700</v>
      </c>
      <c r="I28" s="49" t="n">
        <f aca="false">SUMIFS(I4:I19,B4:B19,"BRI*")</f>
        <v>0</v>
      </c>
      <c r="J28" s="49" t="n">
        <f aca="false">SUMIFS(J4:J19,B4:B19,"BRI*")</f>
        <v>0</v>
      </c>
      <c r="K28" s="40" t="n">
        <f aca="false">SUM(E28:J28)</f>
        <v>3702700</v>
      </c>
      <c r="L28" s="41"/>
      <c r="M28" s="41"/>
    </row>
    <row r="29" customFormat="false" ht="18" hidden="false" customHeight="true" outlineLevel="0" collapsed="false">
      <c r="A29" s="48" t="s">
        <v>90</v>
      </c>
      <c r="B29" s="48"/>
      <c r="C29" s="48"/>
      <c r="D29" s="48"/>
      <c r="E29" s="49" t="n">
        <f aca="false">SUMIFS(E4:E19,B4:B19,"MANDIRI*")</f>
        <v>1095100</v>
      </c>
      <c r="F29" s="49" t="n">
        <f aca="false">SUMIFS(F4:F19,B4:B19,"MANDIRI*")</f>
        <v>0</v>
      </c>
      <c r="G29" s="49" t="n">
        <f aca="false">SUMIFS(G4:G19,B4:B19,"MANDIRI*")</f>
        <v>0</v>
      </c>
      <c r="H29" s="49" t="n">
        <f aca="false">SUMIFS(H4:H19,B4:B19,"MANDIRI*")</f>
        <v>0</v>
      </c>
      <c r="I29" s="49" t="n">
        <f aca="false">SUMIFS(I4:I19,B4:B19,"MANDIRI*")</f>
        <v>0</v>
      </c>
      <c r="J29" s="49" t="n">
        <f aca="false">SUMIFS(J4:J19,B4:B19,"MANDIRI*")</f>
        <v>0</v>
      </c>
      <c r="K29" s="40" t="n">
        <f aca="false">SUM(E29:J29)</f>
        <v>1095100</v>
      </c>
      <c r="L29" s="41"/>
      <c r="M29" s="41"/>
    </row>
    <row r="30" customFormat="false" ht="18" hidden="false" customHeight="true" outlineLevel="0" collapsed="false">
      <c r="A30" s="48" t="s">
        <v>91</v>
      </c>
      <c r="B30" s="48"/>
      <c r="C30" s="48"/>
      <c r="D30" s="48"/>
      <c r="E30" s="49" t="n">
        <f aca="false">SUMIFS(E4:E19,B4:B19,"VOUCHER*")</f>
        <v>0</v>
      </c>
      <c r="F30" s="49" t="n">
        <f aca="false">SUMIFS(F4:F19,B4:B19,"VOUCHER*")</f>
        <v>0</v>
      </c>
      <c r="G30" s="49" t="n">
        <f aca="false">SUMIFS(G4:G19,B4:B19,"VOUCHER*")</f>
        <v>0</v>
      </c>
      <c r="H30" s="49" t="n">
        <f aca="false">SUMIFS(H4:H19,B4:B19,"VOUCHER*")</f>
        <v>0</v>
      </c>
      <c r="I30" s="49" t="n">
        <f aca="false">SUMIFS(I4:I19,B4:B19,"VOUCHER*")</f>
        <v>0</v>
      </c>
      <c r="J30" s="49" t="n">
        <f aca="false">SUMIFS(J4:J19,B4:B19,"VOUCHER*")</f>
        <v>0</v>
      </c>
      <c r="K30" s="40" t="n">
        <f aca="false">SUM(E30:J30)</f>
        <v>0</v>
      </c>
      <c r="L30" s="41"/>
      <c r="M30" s="41"/>
    </row>
    <row r="31" customFormat="false" ht="18" hidden="false" customHeight="true" outlineLevel="0" collapsed="false">
      <c r="A31" s="39" t="s">
        <v>92</v>
      </c>
      <c r="B31" s="39"/>
      <c r="C31" s="39"/>
      <c r="D31" s="39"/>
      <c r="E31" s="40" t="n">
        <f aca="false">E19</f>
        <v>100000</v>
      </c>
      <c r="F31" s="40" t="n">
        <f aca="false">F19</f>
        <v>0</v>
      </c>
      <c r="G31" s="40" t="n">
        <f aca="false">G19</f>
        <v>1294700</v>
      </c>
      <c r="H31" s="40" t="n">
        <f aca="false">H19</f>
        <v>3401500</v>
      </c>
      <c r="I31" s="40" t="n">
        <f aca="false">I19</f>
        <v>300000</v>
      </c>
      <c r="J31" s="40" t="n">
        <f aca="false">J19</f>
        <v>0</v>
      </c>
      <c r="K31" s="40" t="n">
        <f aca="false">K19</f>
        <v>5096200</v>
      </c>
      <c r="L31" s="41"/>
      <c r="M31" s="41"/>
    </row>
    <row r="32" customFormat="false" ht="19.5" hidden="false" customHeight="true" outlineLevel="0" collapsed="false">
      <c r="A32" s="39" t="s">
        <v>93</v>
      </c>
      <c r="B32" s="39"/>
      <c r="C32" s="39"/>
      <c r="D32" s="39"/>
      <c r="E32" s="40" t="n">
        <f aca="false">E26+E27+E28+E29+E30+E31</f>
        <v>1295100</v>
      </c>
      <c r="F32" s="40" t="n">
        <f aca="false">F26+F27+F28+F29+F30+F31</f>
        <v>0</v>
      </c>
      <c r="G32" s="40" t="n">
        <f aca="false">G26+G27+G28+G29+G30+G31</f>
        <v>3067400</v>
      </c>
      <c r="H32" s="40" t="n">
        <f aca="false">H26+H27+H28+H29+H30+H31</f>
        <v>7104200</v>
      </c>
      <c r="I32" s="40" t="n">
        <f aca="false">I26+I27+I28+I29+I30+I31</f>
        <v>300000</v>
      </c>
      <c r="J32" s="40" t="n">
        <f aca="false">J26+J27+J28+J29+J30+J31</f>
        <v>0</v>
      </c>
      <c r="K32" s="40" t="n">
        <f aca="false">K26+K27+K28+K29+K30+K31</f>
        <v>11766700</v>
      </c>
      <c r="L32" s="41"/>
      <c r="M32" s="41"/>
    </row>
    <row r="33" customFormat="false" ht="19.5" hidden="false" customHeight="true" outlineLevel="0" collapsed="false">
      <c r="A33" s="50" t="s">
        <v>94</v>
      </c>
      <c r="B33" s="50"/>
      <c r="C33" s="50"/>
      <c r="D33" s="50"/>
      <c r="E33" s="51" t="n">
        <f aca="false">E24-E32</f>
        <v>-1295100</v>
      </c>
      <c r="F33" s="51" t="n">
        <f aca="false">F24-F32</f>
        <v>0</v>
      </c>
      <c r="G33" s="51" t="n">
        <f aca="false">G24-G32</f>
        <v>-3067400</v>
      </c>
      <c r="H33" s="51" t="n">
        <f aca="false">H24-H32</f>
        <v>-7104200</v>
      </c>
      <c r="I33" s="51" t="n">
        <f aca="false">I24-I32</f>
        <v>-300000</v>
      </c>
      <c r="J33" s="51" t="n">
        <f aca="false">J24-J32</f>
        <v>0</v>
      </c>
      <c r="K33" s="51" t="n">
        <f aca="false">K24-K32</f>
        <v>-11766700</v>
      </c>
      <c r="L33" s="52"/>
      <c r="M33" s="52"/>
    </row>
    <row r="34" customFormat="false" ht="18" hidden="false" customHeight="true" outlineLevel="0" collapsed="false">
      <c r="A34" s="42" t="s">
        <v>95</v>
      </c>
      <c r="B34" s="42"/>
      <c r="C34" s="42"/>
      <c r="D34" s="42"/>
      <c r="E34" s="46" t="n">
        <v>0</v>
      </c>
      <c r="F34" s="46" t="n">
        <v>0</v>
      </c>
      <c r="G34" s="46" t="n">
        <v>0</v>
      </c>
      <c r="H34" s="46" t="n">
        <v>0</v>
      </c>
      <c r="I34" s="46" t="n">
        <v>0</v>
      </c>
      <c r="J34" s="46" t="n">
        <v>0</v>
      </c>
      <c r="K34" s="47" t="n">
        <f aca="false">SUM(E34:J34)</f>
        <v>0</v>
      </c>
      <c r="L34" s="45"/>
      <c r="M34" s="45"/>
    </row>
    <row r="35" customFormat="false" ht="4.5" hidden="false" customHeight="true" outlineLevel="0" collapsed="false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</row>
    <row r="36" customFormat="false" ht="21.75" hidden="false" customHeight="true" outlineLevel="0" collapsed="false">
      <c r="A36" s="6" t="s">
        <v>126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</row>
    <row r="37" customFormat="false" ht="21.75" hidden="false" customHeight="true" outlineLevel="0" collapsed="false">
      <c r="A37" s="7" t="s">
        <v>23</v>
      </c>
      <c r="B37" s="7" t="s">
        <v>24</v>
      </c>
      <c r="C37" s="7" t="s">
        <v>25</v>
      </c>
      <c r="D37" s="7" t="s">
        <v>26</v>
      </c>
      <c r="E37" s="7" t="s">
        <v>27</v>
      </c>
      <c r="F37" s="7" t="s">
        <v>28</v>
      </c>
      <c r="G37" s="7" t="s">
        <v>29</v>
      </c>
      <c r="H37" s="7" t="s">
        <v>30</v>
      </c>
      <c r="I37" s="7" t="s">
        <v>31</v>
      </c>
      <c r="J37" s="7" t="s">
        <v>32</v>
      </c>
      <c r="K37" s="8" t="s">
        <v>33</v>
      </c>
      <c r="L37" s="7" t="s">
        <v>34</v>
      </c>
      <c r="M37" s="7" t="s">
        <v>35</v>
      </c>
    </row>
    <row r="38" customFormat="false" ht="18" hidden="false" customHeight="true" outlineLevel="0" collapsed="false">
      <c r="A38" s="9" t="s">
        <v>36</v>
      </c>
      <c r="B38" s="9"/>
      <c r="C38" s="9"/>
      <c r="D38" s="9"/>
      <c r="E38" s="10" t="s">
        <v>39</v>
      </c>
      <c r="F38" s="10" t="s">
        <v>38</v>
      </c>
      <c r="G38" s="10" t="s">
        <v>115</v>
      </c>
      <c r="H38" s="10" t="s">
        <v>116</v>
      </c>
      <c r="I38" s="10" t="s">
        <v>41</v>
      </c>
      <c r="J38" s="10" t="s">
        <v>42</v>
      </c>
      <c r="K38" s="11"/>
      <c r="L38" s="12" t="s">
        <v>43</v>
      </c>
      <c r="M38" s="12"/>
    </row>
    <row r="39" customFormat="false" ht="18" hidden="false" customHeight="true" outlineLevel="0" collapsed="false">
      <c r="A39" s="13" t="s">
        <v>97</v>
      </c>
      <c r="B39" s="14" t="s">
        <v>98</v>
      </c>
      <c r="C39" s="13" t="s">
        <v>46</v>
      </c>
      <c r="D39" s="15" t="s">
        <v>99</v>
      </c>
      <c r="E39" s="26" t="n">
        <v>4410000</v>
      </c>
      <c r="F39" s="16"/>
      <c r="G39" s="16"/>
      <c r="H39" s="26" t="n">
        <v>900000</v>
      </c>
      <c r="I39" s="16"/>
      <c r="J39" s="16"/>
      <c r="K39" s="17" t="n">
        <f aca="false">SUM(E39:J39)</f>
        <v>5310000</v>
      </c>
      <c r="L39" s="18" t="s">
        <v>127</v>
      </c>
      <c r="M39" s="19" t="s">
        <v>128</v>
      </c>
    </row>
    <row r="40" customFormat="false" ht="18" hidden="false" customHeight="true" outlineLevel="0" collapsed="false">
      <c r="A40" s="20" t="s">
        <v>97</v>
      </c>
      <c r="B40" s="21" t="s">
        <v>98</v>
      </c>
      <c r="C40" s="20" t="s">
        <v>48</v>
      </c>
      <c r="D40" s="22" t="s">
        <v>99</v>
      </c>
      <c r="E40" s="23"/>
      <c r="F40" s="23"/>
      <c r="G40" s="23"/>
      <c r="H40" s="23"/>
      <c r="I40" s="23"/>
      <c r="J40" s="23"/>
      <c r="K40" s="17" t="n">
        <f aca="false">SUM(E40:J40)</f>
        <v>0</v>
      </c>
      <c r="L40" s="24"/>
      <c r="M40" s="25"/>
    </row>
    <row r="41" customFormat="false" ht="18" hidden="false" customHeight="true" outlineLevel="0" collapsed="false">
      <c r="A41" s="13" t="s">
        <v>97</v>
      </c>
      <c r="B41" s="14" t="s">
        <v>98</v>
      </c>
      <c r="C41" s="13" t="s">
        <v>49</v>
      </c>
      <c r="D41" s="15" t="s">
        <v>99</v>
      </c>
      <c r="E41" s="16"/>
      <c r="F41" s="16"/>
      <c r="G41" s="16"/>
      <c r="H41" s="16"/>
      <c r="I41" s="16"/>
      <c r="J41" s="16"/>
      <c r="K41" s="17" t="n">
        <f aca="false">SUM(E41:J41)</f>
        <v>0</v>
      </c>
      <c r="L41" s="18"/>
      <c r="M41" s="19"/>
    </row>
    <row r="42" customFormat="false" ht="18" hidden="false" customHeight="true" outlineLevel="0" collapsed="false">
      <c r="A42" s="20" t="s">
        <v>129</v>
      </c>
      <c r="B42" s="21" t="s">
        <v>130</v>
      </c>
      <c r="C42" s="20" t="s">
        <v>46</v>
      </c>
      <c r="D42" s="22" t="s">
        <v>131</v>
      </c>
      <c r="E42" s="23"/>
      <c r="F42" s="23"/>
      <c r="G42" s="23"/>
      <c r="H42" s="27" t="n">
        <v>80000</v>
      </c>
      <c r="I42" s="23"/>
      <c r="J42" s="23"/>
      <c r="K42" s="17" t="n">
        <f aca="false">SUM(E42:J42)</f>
        <v>80000</v>
      </c>
      <c r="L42" s="24" t="s">
        <v>132</v>
      </c>
      <c r="M42" s="25"/>
    </row>
    <row r="43" customFormat="false" ht="18" hidden="false" customHeight="true" outlineLevel="0" collapsed="false">
      <c r="A43" s="13" t="s">
        <v>129</v>
      </c>
      <c r="B43" s="14" t="s">
        <v>130</v>
      </c>
      <c r="C43" s="13" t="s">
        <v>48</v>
      </c>
      <c r="D43" s="15" t="s">
        <v>131</v>
      </c>
      <c r="E43" s="16"/>
      <c r="F43" s="16"/>
      <c r="G43" s="16"/>
      <c r="H43" s="16"/>
      <c r="I43" s="16"/>
      <c r="J43" s="16"/>
      <c r="K43" s="17" t="n">
        <f aca="false">SUM(E43:J43)</f>
        <v>0</v>
      </c>
      <c r="L43" s="18"/>
      <c r="M43" s="19"/>
    </row>
    <row r="44" customFormat="false" ht="18" hidden="false" customHeight="true" outlineLevel="0" collapsed="false">
      <c r="A44" s="20" t="s">
        <v>129</v>
      </c>
      <c r="B44" s="21" t="s">
        <v>130</v>
      </c>
      <c r="C44" s="20" t="s">
        <v>49</v>
      </c>
      <c r="D44" s="22" t="s">
        <v>131</v>
      </c>
      <c r="E44" s="27" t="n">
        <v>4620000</v>
      </c>
      <c r="F44" s="23"/>
      <c r="G44" s="23"/>
      <c r="H44" s="23"/>
      <c r="I44" s="23"/>
      <c r="J44" s="23"/>
      <c r="K44" s="17" t="n">
        <f aca="false">SUM(E44:J44)</f>
        <v>4620000</v>
      </c>
      <c r="L44" s="24" t="s">
        <v>133</v>
      </c>
      <c r="M44" s="25"/>
    </row>
    <row r="45" customFormat="false" ht="18" hidden="false" customHeight="true" outlineLevel="0" collapsed="false">
      <c r="A45" s="13" t="s">
        <v>134</v>
      </c>
      <c r="B45" s="14" t="s">
        <v>135</v>
      </c>
      <c r="C45" s="13" t="s">
        <v>136</v>
      </c>
      <c r="D45" s="15" t="s">
        <v>131</v>
      </c>
      <c r="E45" s="16"/>
      <c r="F45" s="16"/>
      <c r="G45" s="26" t="n">
        <v>3120000</v>
      </c>
      <c r="H45" s="16"/>
      <c r="I45" s="16"/>
      <c r="J45" s="16"/>
      <c r="K45" s="17" t="n">
        <f aca="false">SUM(E45:J45)</f>
        <v>3120000</v>
      </c>
      <c r="L45" s="18" t="s">
        <v>137</v>
      </c>
      <c r="M45" s="19" t="s">
        <v>138</v>
      </c>
    </row>
    <row r="46" customFormat="false" ht="18" hidden="false" customHeight="true" outlineLevel="0" collapsed="false">
      <c r="A46" s="28" t="s">
        <v>79</v>
      </c>
      <c r="B46" s="29" t="s">
        <v>79</v>
      </c>
      <c r="C46" s="28" t="s">
        <v>80</v>
      </c>
      <c r="D46" s="30" t="s">
        <v>80</v>
      </c>
      <c r="E46" s="31" t="n">
        <v>6490000</v>
      </c>
      <c r="F46" s="32"/>
      <c r="G46" s="32"/>
      <c r="H46" s="31" t="n">
        <v>1680000</v>
      </c>
      <c r="I46" s="32"/>
      <c r="J46" s="32"/>
      <c r="K46" s="17" t="n">
        <f aca="false">SUM(E46:J46)</f>
        <v>8170000</v>
      </c>
      <c r="L46" s="33" t="s">
        <v>139</v>
      </c>
      <c r="M46" s="34"/>
    </row>
    <row r="47" customFormat="false" ht="19.5" hidden="false" customHeight="true" outlineLevel="0" collapsed="false">
      <c r="A47" s="35" t="s">
        <v>107</v>
      </c>
      <c r="B47" s="35"/>
      <c r="C47" s="35"/>
      <c r="D47" s="35"/>
      <c r="E47" s="36" t="n">
        <f aca="false">SUM(E39:E46)</f>
        <v>15520000</v>
      </c>
      <c r="F47" s="36" t="n">
        <f aca="false">SUM(F39:F46)</f>
        <v>0</v>
      </c>
      <c r="G47" s="36" t="n">
        <f aca="false">SUM(G39:G46)</f>
        <v>3120000</v>
      </c>
      <c r="H47" s="36" t="n">
        <f aca="false">SUM(H39:H46)</f>
        <v>2660000</v>
      </c>
      <c r="I47" s="36" t="n">
        <f aca="false">SUM(I39:I46)</f>
        <v>0</v>
      </c>
      <c r="J47" s="36" t="n">
        <f aca="false">SUM(J39:J46)</f>
        <v>0</v>
      </c>
      <c r="K47" s="36" t="n">
        <f aca="false">SUM(K39:K46)</f>
        <v>21300000</v>
      </c>
      <c r="L47" s="37"/>
      <c r="M47" s="37"/>
    </row>
    <row r="48" customFormat="false" ht="4.5" hidden="false" customHeight="true" outlineLevel="0" collapsed="false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</row>
    <row r="49" customFormat="false" ht="18" hidden="false" customHeight="true" outlineLevel="0" collapsed="false">
      <c r="A49" s="3" t="s">
        <v>108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customFormat="false" ht="18" hidden="false" customHeight="true" outlineLevel="0" collapsed="false">
      <c r="A50" s="39" t="s">
        <v>84</v>
      </c>
      <c r="B50" s="39"/>
      <c r="C50" s="39"/>
      <c r="D50" s="39"/>
      <c r="E50" s="40" t="n">
        <f aca="false">E47</f>
        <v>15520000</v>
      </c>
      <c r="F50" s="40" t="n">
        <f aca="false">F47</f>
        <v>0</v>
      </c>
      <c r="G50" s="40" t="n">
        <f aca="false">G47</f>
        <v>3120000</v>
      </c>
      <c r="H50" s="40" t="n">
        <f aca="false">H47</f>
        <v>2660000</v>
      </c>
      <c r="I50" s="40" t="n">
        <f aca="false">I47</f>
        <v>0</v>
      </c>
      <c r="J50" s="40" t="n">
        <f aca="false">J47</f>
        <v>0</v>
      </c>
      <c r="K50" s="40" t="n">
        <f aca="false">K47</f>
        <v>21300000</v>
      </c>
      <c r="L50" s="41"/>
      <c r="M50" s="41"/>
    </row>
    <row r="51" customFormat="false" ht="18" hidden="false" customHeight="true" outlineLevel="0" collapsed="false">
      <c r="A51" s="42" t="s">
        <v>85</v>
      </c>
      <c r="B51" s="42"/>
      <c r="C51" s="42"/>
      <c r="D51" s="42"/>
      <c r="E51" s="43" t="n">
        <v>0</v>
      </c>
      <c r="F51" s="43" t="n">
        <v>0</v>
      </c>
      <c r="G51" s="43" t="n">
        <v>0</v>
      </c>
      <c r="H51" s="43" t="n">
        <v>0</v>
      </c>
      <c r="I51" s="43" t="n">
        <v>0</v>
      </c>
      <c r="J51" s="43" t="n">
        <v>0</v>
      </c>
      <c r="K51" s="44" t="n">
        <f aca="false">SUM(E51:J51)</f>
        <v>0</v>
      </c>
      <c r="L51" s="45"/>
      <c r="M51" s="45"/>
    </row>
    <row r="52" customFormat="false" ht="18" hidden="false" customHeight="true" outlineLevel="0" collapsed="false">
      <c r="A52" s="42" t="s">
        <v>86</v>
      </c>
      <c r="B52" s="42"/>
      <c r="C52" s="42"/>
      <c r="D52" s="42"/>
      <c r="E52" s="46" t="n">
        <v>0</v>
      </c>
      <c r="F52" s="46" t="n">
        <v>0</v>
      </c>
      <c r="G52" s="46" t="n">
        <v>0</v>
      </c>
      <c r="H52" s="46" t="n">
        <v>0</v>
      </c>
      <c r="I52" s="46" t="n">
        <v>0</v>
      </c>
      <c r="J52" s="46" t="n">
        <v>0</v>
      </c>
      <c r="K52" s="47" t="n">
        <f aca="false">SUM(E52:J52)</f>
        <v>0</v>
      </c>
      <c r="L52" s="45"/>
      <c r="M52" s="45"/>
    </row>
    <row r="53" customFormat="false" ht="18" hidden="false" customHeight="true" outlineLevel="0" collapsed="false">
      <c r="A53" s="48" t="s">
        <v>87</v>
      </c>
      <c r="B53" s="48"/>
      <c r="C53" s="48"/>
      <c r="D53" s="48"/>
      <c r="E53" s="49" t="n">
        <f aca="false">SUMIFS(E39:E46,B39:B46,"BCA*")</f>
        <v>0</v>
      </c>
      <c r="F53" s="49" t="n">
        <f aca="false">SUMIFS(F39:F46,B39:B46,"BCA*")</f>
        <v>0</v>
      </c>
      <c r="G53" s="49" t="n">
        <f aca="false">SUMIFS(G39:G46,B39:B46,"BCA*")</f>
        <v>0</v>
      </c>
      <c r="H53" s="49" t="n">
        <f aca="false">SUMIFS(H39:H46,B39:B46,"BCA*")</f>
        <v>0</v>
      </c>
      <c r="I53" s="49" t="n">
        <f aca="false">SUMIFS(I39:I46,B39:B46,"BCA*")</f>
        <v>0</v>
      </c>
      <c r="J53" s="49" t="n">
        <f aca="false">SUMIFS(J39:J46,B39:B46,"BCA*")</f>
        <v>0</v>
      </c>
      <c r="K53" s="40" t="n">
        <f aca="false">SUM(E53:J53)</f>
        <v>0</v>
      </c>
      <c r="L53" s="41"/>
      <c r="M53" s="41"/>
    </row>
    <row r="54" customFormat="false" ht="18" hidden="false" customHeight="true" outlineLevel="0" collapsed="false">
      <c r="A54" s="48" t="s">
        <v>88</v>
      </c>
      <c r="B54" s="48"/>
      <c r="C54" s="48"/>
      <c r="D54" s="48"/>
      <c r="E54" s="49" t="n">
        <f aca="false">SUMIFS(E39:E46,B39:B46,"BNI*")</f>
        <v>4410000</v>
      </c>
      <c r="F54" s="49" t="n">
        <f aca="false">SUMIFS(F39:F46,B39:B46,"BNI*")</f>
        <v>0</v>
      </c>
      <c r="G54" s="49" t="n">
        <f aca="false">SUMIFS(G39:G46,B39:B46,"BNI*")</f>
        <v>0</v>
      </c>
      <c r="H54" s="49" t="n">
        <f aca="false">SUMIFS(H39:H46,B39:B46,"BNI*")</f>
        <v>900000</v>
      </c>
      <c r="I54" s="49" t="n">
        <f aca="false">SUMIFS(I39:I46,B39:B46,"BNI*")</f>
        <v>0</v>
      </c>
      <c r="J54" s="49" t="n">
        <f aca="false">SUMIFS(J39:J46,B39:B46,"BNI*")</f>
        <v>0</v>
      </c>
      <c r="K54" s="40" t="n">
        <f aca="false">SUM(E54:J54)</f>
        <v>5310000</v>
      </c>
      <c r="L54" s="41"/>
      <c r="M54" s="41"/>
    </row>
    <row r="55" customFormat="false" ht="18" hidden="false" customHeight="true" outlineLevel="0" collapsed="false">
      <c r="A55" s="48" t="s">
        <v>89</v>
      </c>
      <c r="B55" s="48"/>
      <c r="C55" s="48"/>
      <c r="D55" s="48"/>
      <c r="E55" s="49" t="n">
        <f aca="false">SUMIFS(E39:E46,B39:B46,"BRI*")</f>
        <v>4620000</v>
      </c>
      <c r="F55" s="49" t="n">
        <f aca="false">SUMIFS(F39:F46,B39:B46,"BRI*")</f>
        <v>0</v>
      </c>
      <c r="G55" s="49" t="n">
        <f aca="false">SUMIFS(G39:G46,B39:B46,"BRI*")</f>
        <v>3120000</v>
      </c>
      <c r="H55" s="49" t="n">
        <f aca="false">SUMIFS(H39:H46,B39:B46,"BRI*")</f>
        <v>80000</v>
      </c>
      <c r="I55" s="49" t="n">
        <f aca="false">SUMIFS(I39:I46,B39:B46,"BRI*")</f>
        <v>0</v>
      </c>
      <c r="J55" s="49" t="n">
        <f aca="false">SUMIFS(J39:J46,B39:B46,"BRI*")</f>
        <v>0</v>
      </c>
      <c r="K55" s="40" t="n">
        <f aca="false">SUM(E55:J55)</f>
        <v>7820000</v>
      </c>
      <c r="L55" s="41"/>
      <c r="M55" s="41"/>
    </row>
    <row r="56" customFormat="false" ht="18" hidden="false" customHeight="true" outlineLevel="0" collapsed="false">
      <c r="A56" s="48" t="s">
        <v>90</v>
      </c>
      <c r="B56" s="48"/>
      <c r="C56" s="48"/>
      <c r="D56" s="48"/>
      <c r="E56" s="49" t="n">
        <f aca="false">SUMIFS(E39:E46,B39:B46,"MANDIRI*")</f>
        <v>0</v>
      </c>
      <c r="F56" s="49" t="n">
        <f aca="false">SUMIFS(F39:F46,B39:B46,"MANDIRI*")</f>
        <v>0</v>
      </c>
      <c r="G56" s="49" t="n">
        <f aca="false">SUMIFS(G39:G46,B39:B46,"MANDIRI*")</f>
        <v>0</v>
      </c>
      <c r="H56" s="49" t="n">
        <f aca="false">SUMIFS(H39:H46,B39:B46,"MANDIRI*")</f>
        <v>0</v>
      </c>
      <c r="I56" s="49" t="n">
        <f aca="false">SUMIFS(I39:I46,B39:B46,"MANDIRI*")</f>
        <v>0</v>
      </c>
      <c r="J56" s="49" t="n">
        <f aca="false">SUMIFS(J39:J46,B39:B46,"MANDIRI*")</f>
        <v>0</v>
      </c>
      <c r="K56" s="40" t="n">
        <f aca="false">SUM(E56:J56)</f>
        <v>0</v>
      </c>
      <c r="L56" s="41"/>
      <c r="M56" s="41"/>
    </row>
    <row r="57" customFormat="false" ht="18" hidden="false" customHeight="true" outlineLevel="0" collapsed="false">
      <c r="A57" s="48" t="s">
        <v>91</v>
      </c>
      <c r="B57" s="48"/>
      <c r="C57" s="48"/>
      <c r="D57" s="48"/>
      <c r="E57" s="49" t="n">
        <f aca="false">SUMIFS(E39:E46,B39:B46,"VOUCHER*")</f>
        <v>0</v>
      </c>
      <c r="F57" s="49" t="n">
        <f aca="false">SUMIFS(F39:F46,B39:B46,"VOUCHER*")</f>
        <v>0</v>
      </c>
      <c r="G57" s="49" t="n">
        <f aca="false">SUMIFS(G39:G46,B39:B46,"VOUCHER*")</f>
        <v>0</v>
      </c>
      <c r="H57" s="49" t="n">
        <f aca="false">SUMIFS(H39:H46,B39:B46,"VOUCHER*")</f>
        <v>0</v>
      </c>
      <c r="I57" s="49" t="n">
        <f aca="false">SUMIFS(I39:I46,B39:B46,"VOUCHER*")</f>
        <v>0</v>
      </c>
      <c r="J57" s="49" t="n">
        <f aca="false">SUMIFS(J39:J46,B39:B46,"VOUCHER*")</f>
        <v>0</v>
      </c>
      <c r="K57" s="40" t="n">
        <f aca="false">SUM(E57:J57)</f>
        <v>0</v>
      </c>
      <c r="L57" s="41"/>
      <c r="M57" s="41"/>
    </row>
    <row r="58" customFormat="false" ht="18" hidden="false" customHeight="true" outlineLevel="0" collapsed="false">
      <c r="A58" s="39" t="s">
        <v>92</v>
      </c>
      <c r="B58" s="39"/>
      <c r="C58" s="39"/>
      <c r="D58" s="39"/>
      <c r="E58" s="40" t="n">
        <f aca="false">E46</f>
        <v>6490000</v>
      </c>
      <c r="F58" s="40" t="n">
        <f aca="false">F46</f>
        <v>0</v>
      </c>
      <c r="G58" s="40" t="n">
        <f aca="false">G46</f>
        <v>0</v>
      </c>
      <c r="H58" s="40" t="n">
        <f aca="false">H46</f>
        <v>1680000</v>
      </c>
      <c r="I58" s="40" t="n">
        <f aca="false">I46</f>
        <v>0</v>
      </c>
      <c r="J58" s="40" t="n">
        <f aca="false">J46</f>
        <v>0</v>
      </c>
      <c r="K58" s="40" t="n">
        <f aca="false">K46</f>
        <v>8170000</v>
      </c>
      <c r="L58" s="41"/>
      <c r="M58" s="41"/>
    </row>
    <row r="59" customFormat="false" ht="19.5" hidden="false" customHeight="true" outlineLevel="0" collapsed="false">
      <c r="A59" s="39" t="s">
        <v>93</v>
      </c>
      <c r="B59" s="39"/>
      <c r="C59" s="39"/>
      <c r="D59" s="39"/>
      <c r="E59" s="40" t="n">
        <f aca="false">E53+E54+E55+E56+E57+E58</f>
        <v>15520000</v>
      </c>
      <c r="F59" s="40" t="n">
        <f aca="false">F53+F54+F55+F56+F57+F58</f>
        <v>0</v>
      </c>
      <c r="G59" s="40" t="n">
        <f aca="false">G53+G54+G55+G56+G57+G58</f>
        <v>3120000</v>
      </c>
      <c r="H59" s="40" t="n">
        <f aca="false">H53+H54+H55+H56+H57+H58</f>
        <v>2660000</v>
      </c>
      <c r="I59" s="40" t="n">
        <f aca="false">I53+I54+I55+I56+I57+I58</f>
        <v>0</v>
      </c>
      <c r="J59" s="40" t="n">
        <f aca="false">J53+J54+J55+J56+J57+J58</f>
        <v>0</v>
      </c>
      <c r="K59" s="40" t="n">
        <f aca="false">K53+K54+K55+K56+K57+K58</f>
        <v>21300000</v>
      </c>
      <c r="L59" s="41"/>
      <c r="M59" s="41"/>
    </row>
    <row r="60" customFormat="false" ht="19.5" hidden="false" customHeight="true" outlineLevel="0" collapsed="false">
      <c r="A60" s="50" t="s">
        <v>94</v>
      </c>
      <c r="B60" s="50"/>
      <c r="C60" s="50"/>
      <c r="D60" s="50"/>
      <c r="E60" s="51" t="n">
        <f aca="false">E51-E59</f>
        <v>-15520000</v>
      </c>
      <c r="F60" s="51" t="n">
        <f aca="false">F51-F59</f>
        <v>0</v>
      </c>
      <c r="G60" s="51" t="n">
        <f aca="false">G51-G59</f>
        <v>-3120000</v>
      </c>
      <c r="H60" s="51" t="n">
        <f aca="false">H51-H59</f>
        <v>-2660000</v>
      </c>
      <c r="I60" s="51" t="n">
        <f aca="false">I51-I59</f>
        <v>0</v>
      </c>
      <c r="J60" s="51" t="n">
        <f aca="false">J51-J59</f>
        <v>0</v>
      </c>
      <c r="K60" s="51" t="n">
        <f aca="false">K51-K59</f>
        <v>-21300000</v>
      </c>
      <c r="L60" s="52"/>
      <c r="M60" s="52"/>
    </row>
    <row r="61" customFormat="false" ht="18" hidden="false" customHeight="true" outlineLevel="0" collapsed="false">
      <c r="A61" s="42" t="s">
        <v>95</v>
      </c>
      <c r="B61" s="42"/>
      <c r="C61" s="42"/>
      <c r="D61" s="42"/>
      <c r="E61" s="46" t="n">
        <v>0</v>
      </c>
      <c r="F61" s="46" t="n">
        <v>0</v>
      </c>
      <c r="G61" s="46" t="n">
        <v>0</v>
      </c>
      <c r="H61" s="46" t="n">
        <v>0</v>
      </c>
      <c r="I61" s="46" t="n">
        <v>0</v>
      </c>
      <c r="J61" s="46" t="n">
        <v>0</v>
      </c>
      <c r="K61" s="47" t="n">
        <f aca="false">SUM(E61:J61)</f>
        <v>0</v>
      </c>
      <c r="L61" s="45"/>
      <c r="M61" s="45"/>
    </row>
    <row r="62" customFormat="false" ht="4.5" hidden="false" customHeight="true" outlineLevel="0" collapsed="false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</row>
    <row r="63" customFormat="false" ht="25.5" hidden="false" customHeight="true" outlineLevel="0" collapsed="false">
      <c r="A63" s="53" t="s">
        <v>109</v>
      </c>
      <c r="B63" s="53"/>
      <c r="C63" s="53"/>
      <c r="D63" s="53"/>
      <c r="E63" s="54" t="n">
        <f aca="false">E23+E50</f>
        <v>16815100</v>
      </c>
      <c r="F63" s="54" t="n">
        <f aca="false">F23+F50</f>
        <v>0</v>
      </c>
      <c r="G63" s="54" t="n">
        <f aca="false">G23+G50</f>
        <v>6187400</v>
      </c>
      <c r="H63" s="54" t="n">
        <f aca="false">H23+H50</f>
        <v>9764200</v>
      </c>
      <c r="I63" s="54" t="n">
        <f aca="false">I23+I50</f>
        <v>300000</v>
      </c>
      <c r="J63" s="54" t="n">
        <f aca="false">J23+J50</f>
        <v>0</v>
      </c>
      <c r="K63" s="54" t="n">
        <f aca="false">K23+K50</f>
        <v>33066700</v>
      </c>
      <c r="L63" s="55"/>
      <c r="M63" s="55"/>
    </row>
    <row r="64" customFormat="false" ht="4.5" hidden="false" customHeight="true" outlineLevel="0" collapsed="false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</row>
    <row r="65" customFormat="false" ht="18" hidden="false" customHeight="true" outlineLevel="0" collapsed="false">
      <c r="A65" s="56" t="s">
        <v>110</v>
      </c>
      <c r="B65" s="56"/>
      <c r="C65" s="56"/>
      <c r="D65" s="56"/>
      <c r="E65" s="56"/>
      <c r="F65" s="56"/>
      <c r="H65" s="56" t="s">
        <v>111</v>
      </c>
      <c r="I65" s="56"/>
      <c r="J65" s="56"/>
      <c r="K65" s="56"/>
      <c r="L65" s="56"/>
      <c r="M65" s="56"/>
    </row>
    <row r="66" customFormat="false" ht="18" hidden="false" customHeight="true" outlineLevel="0" collapsed="false">
      <c r="A66" s="57" t="s">
        <v>112</v>
      </c>
      <c r="B66" s="57"/>
      <c r="C66" s="57"/>
      <c r="D66" s="57"/>
      <c r="E66" s="57"/>
      <c r="F66" s="57"/>
      <c r="H66" s="57" t="s">
        <v>112</v>
      </c>
      <c r="I66" s="57"/>
      <c r="J66" s="57"/>
      <c r="K66" s="57"/>
      <c r="L66" s="57"/>
      <c r="M66" s="57"/>
    </row>
    <row r="67" customFormat="false" ht="39.75" hidden="false" customHeight="true" outlineLevel="0" collapsed="false">
      <c r="A67" s="57" t="s">
        <v>113</v>
      </c>
      <c r="B67" s="57"/>
      <c r="C67" s="57"/>
      <c r="D67" s="57"/>
      <c r="E67" s="57"/>
      <c r="F67" s="57"/>
      <c r="H67" s="57" t="s">
        <v>113</v>
      </c>
      <c r="I67" s="57"/>
      <c r="J67" s="57"/>
      <c r="K67" s="57"/>
      <c r="L67" s="57"/>
      <c r="M67" s="57"/>
    </row>
  </sheetData>
  <mergeCells count="46">
    <mergeCell ref="A1:M1"/>
    <mergeCell ref="A3:D3"/>
    <mergeCell ref="L3:M3"/>
    <mergeCell ref="A20:D20"/>
    <mergeCell ref="A21:M21"/>
    <mergeCell ref="A22:M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M35"/>
    <mergeCell ref="A36:M36"/>
    <mergeCell ref="A38:D38"/>
    <mergeCell ref="L38:M38"/>
    <mergeCell ref="A47:D47"/>
    <mergeCell ref="A48:M48"/>
    <mergeCell ref="A49:M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M62"/>
    <mergeCell ref="A63:D63"/>
    <mergeCell ref="A64:M64"/>
    <mergeCell ref="A65:F65"/>
    <mergeCell ref="H65:M65"/>
    <mergeCell ref="A66:F66"/>
    <mergeCell ref="H66:M66"/>
    <mergeCell ref="A67:F67"/>
    <mergeCell ref="H67:M67"/>
  </mergeCells>
  <dataValidations count="2">
    <dataValidation allowBlank="true" error="Hanya: QR, DEBIT, KK" errorStyle="stop" errorTitle="Jenis Tidak Valid" operator="between" showDropDown="false" showErrorMessage="true" showInputMessage="false" sqref="C1:C500" type="list">
      <formula1>"QR,DEBIT,KK,-"</formula1>
      <formula2>0</formula2>
    </dataValidation>
    <dataValidation allowBlank="true" error="Pilih dari daftar." errorStyle="stop" errorTitle="Entitas Tidak Valid" operator="between" showDropDown="false" showErrorMessage="true" showInputMessage="false" sqref="D1:D500" type="list">
      <formula1>"PT CAHAYA MENTARI BERSINAR,CV BERKAT JAYA BAHAGIA,CV TUNAS MUDA KREASI,CV KARYA BERSAMA ANUGERAH,-"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2"/>
    <col collapsed="false" customWidth="true" hidden="false" outlineLevel="0" max="3" min="3" style="1" width="8"/>
    <col collapsed="false" customWidth="true" hidden="false" outlineLevel="0" max="4" min="4" style="1" width="28"/>
    <col collapsed="false" customWidth="true" hidden="false" outlineLevel="0" max="10" min="5" style="1" width="13"/>
    <col collapsed="false" customWidth="true" hidden="false" outlineLevel="0" max="11" min="11" style="1" width="16"/>
    <col collapsed="false" customWidth="true" hidden="false" outlineLevel="0" max="12" min="12" style="1" width="28"/>
    <col collapsed="false" customWidth="true" hidden="false" outlineLevel="0" max="13" min="13" style="1" width="38"/>
  </cols>
  <sheetData>
    <row r="1" customFormat="false" ht="21.75" hidden="false" customHeight="true" outlineLevel="0" collapsed="false">
      <c r="A1" s="6" t="s">
        <v>140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customFormat="false" ht="21.75" hidden="false" customHeight="true" outlineLevel="0" collapsed="false">
      <c r="A2" s="7" t="s">
        <v>23</v>
      </c>
      <c r="B2" s="7" t="s">
        <v>24</v>
      </c>
      <c r="C2" s="7" t="s">
        <v>25</v>
      </c>
      <c r="D2" s="7" t="s">
        <v>26</v>
      </c>
      <c r="E2" s="7" t="s">
        <v>27</v>
      </c>
      <c r="F2" s="7" t="s">
        <v>28</v>
      </c>
      <c r="G2" s="7" t="s">
        <v>29</v>
      </c>
      <c r="H2" s="7" t="s">
        <v>30</v>
      </c>
      <c r="I2" s="7" t="s">
        <v>31</v>
      </c>
      <c r="J2" s="7" t="s">
        <v>32</v>
      </c>
      <c r="K2" s="8" t="s">
        <v>33</v>
      </c>
      <c r="L2" s="7" t="s">
        <v>34</v>
      </c>
      <c r="M2" s="7" t="s">
        <v>35</v>
      </c>
    </row>
    <row r="3" customFormat="false" ht="18" hidden="false" customHeight="true" outlineLevel="0" collapsed="false">
      <c r="A3" s="9" t="s">
        <v>36</v>
      </c>
      <c r="B3" s="9"/>
      <c r="C3" s="9"/>
      <c r="D3" s="9"/>
      <c r="E3" s="10" t="s">
        <v>40</v>
      </c>
      <c r="F3" s="10" t="s">
        <v>115</v>
      </c>
      <c r="G3" s="10" t="s">
        <v>141</v>
      </c>
      <c r="H3" s="10" t="s">
        <v>42</v>
      </c>
      <c r="I3" s="10" t="s">
        <v>42</v>
      </c>
      <c r="J3" s="10" t="s">
        <v>42</v>
      </c>
      <c r="K3" s="11"/>
      <c r="L3" s="12" t="s">
        <v>43</v>
      </c>
      <c r="M3" s="12"/>
    </row>
    <row r="4" customFormat="false" ht="18" hidden="false" customHeight="true" outlineLevel="0" collapsed="false">
      <c r="A4" s="13" t="s">
        <v>44</v>
      </c>
      <c r="B4" s="14" t="s">
        <v>45</v>
      </c>
      <c r="C4" s="13" t="s">
        <v>46</v>
      </c>
      <c r="D4" s="15" t="s">
        <v>47</v>
      </c>
      <c r="E4" s="16"/>
      <c r="F4" s="16"/>
      <c r="G4" s="26" t="n">
        <v>750000</v>
      </c>
      <c r="H4" s="16"/>
      <c r="I4" s="16"/>
      <c r="J4" s="16"/>
      <c r="K4" s="17" t="n">
        <f aca="false">SUM(E4:J4)</f>
        <v>750000</v>
      </c>
      <c r="L4" s="18" t="s">
        <v>142</v>
      </c>
      <c r="M4" s="19"/>
    </row>
    <row r="5" customFormat="false" ht="18" hidden="false" customHeight="true" outlineLevel="0" collapsed="false">
      <c r="A5" s="20" t="s">
        <v>44</v>
      </c>
      <c r="B5" s="21" t="s">
        <v>45</v>
      </c>
      <c r="C5" s="20" t="s">
        <v>48</v>
      </c>
      <c r="D5" s="22" t="s">
        <v>47</v>
      </c>
      <c r="E5" s="23"/>
      <c r="F5" s="23"/>
      <c r="G5" s="23"/>
      <c r="H5" s="23"/>
      <c r="I5" s="23"/>
      <c r="J5" s="23"/>
      <c r="K5" s="17" t="n">
        <f aca="false">SUM(E5:J5)</f>
        <v>0</v>
      </c>
      <c r="L5" s="24"/>
      <c r="M5" s="25"/>
    </row>
    <row r="6" customFormat="false" ht="18" hidden="false" customHeight="true" outlineLevel="0" collapsed="false">
      <c r="A6" s="13" t="s">
        <v>44</v>
      </c>
      <c r="B6" s="14" t="s">
        <v>45</v>
      </c>
      <c r="C6" s="13" t="s">
        <v>49</v>
      </c>
      <c r="D6" s="15" t="s">
        <v>47</v>
      </c>
      <c r="E6" s="16"/>
      <c r="F6" s="16"/>
      <c r="G6" s="26" t="n">
        <v>7600000</v>
      </c>
      <c r="H6" s="16"/>
      <c r="I6" s="16"/>
      <c r="J6" s="16"/>
      <c r="K6" s="17" t="n">
        <f aca="false">SUM(E6:J6)</f>
        <v>7600000</v>
      </c>
      <c r="L6" s="18" t="s">
        <v>143</v>
      </c>
      <c r="M6" s="19"/>
    </row>
    <row r="7" customFormat="false" ht="18" hidden="false" customHeight="true" outlineLevel="0" collapsed="false">
      <c r="A7" s="20" t="s">
        <v>44</v>
      </c>
      <c r="B7" s="21" t="s">
        <v>144</v>
      </c>
      <c r="C7" s="20" t="s">
        <v>46</v>
      </c>
      <c r="D7" s="22" t="s">
        <v>47</v>
      </c>
      <c r="E7" s="23"/>
      <c r="F7" s="23"/>
      <c r="G7" s="27" t="n">
        <v>400500</v>
      </c>
      <c r="H7" s="23"/>
      <c r="I7" s="23"/>
      <c r="J7" s="23"/>
      <c r="K7" s="17" t="n">
        <f aca="false">SUM(E7:J7)</f>
        <v>400500</v>
      </c>
      <c r="L7" s="24" t="s">
        <v>145</v>
      </c>
      <c r="M7" s="25"/>
    </row>
    <row r="8" customFormat="false" ht="18" hidden="false" customHeight="true" outlineLevel="0" collapsed="false">
      <c r="A8" s="13" t="s">
        <v>44</v>
      </c>
      <c r="B8" s="14" t="s">
        <v>144</v>
      </c>
      <c r="C8" s="13" t="s">
        <v>48</v>
      </c>
      <c r="D8" s="15" t="s">
        <v>47</v>
      </c>
      <c r="E8" s="16"/>
      <c r="F8" s="16"/>
      <c r="G8" s="16"/>
      <c r="H8" s="16"/>
      <c r="I8" s="16"/>
      <c r="J8" s="16"/>
      <c r="K8" s="17" t="n">
        <f aca="false">SUM(E8:J8)</f>
        <v>0</v>
      </c>
      <c r="L8" s="18"/>
      <c r="M8" s="19"/>
    </row>
    <row r="9" customFormat="false" ht="18" hidden="false" customHeight="true" outlineLevel="0" collapsed="false">
      <c r="A9" s="20" t="s">
        <v>44</v>
      </c>
      <c r="B9" s="21" t="s">
        <v>144</v>
      </c>
      <c r="C9" s="20" t="s">
        <v>49</v>
      </c>
      <c r="D9" s="22" t="s">
        <v>47</v>
      </c>
      <c r="E9" s="23"/>
      <c r="F9" s="23"/>
      <c r="G9" s="27" t="n">
        <v>1604800</v>
      </c>
      <c r="H9" s="23"/>
      <c r="I9" s="23"/>
      <c r="J9" s="23"/>
      <c r="K9" s="17" t="n">
        <f aca="false">SUM(E9:J9)</f>
        <v>1604800</v>
      </c>
      <c r="L9" s="24" t="s">
        <v>146</v>
      </c>
      <c r="M9" s="25"/>
    </row>
    <row r="10" customFormat="false" ht="18" hidden="false" customHeight="true" outlineLevel="0" collapsed="false">
      <c r="A10" s="13" t="s">
        <v>56</v>
      </c>
      <c r="B10" s="14" t="s">
        <v>119</v>
      </c>
      <c r="C10" s="13" t="s">
        <v>46</v>
      </c>
      <c r="D10" s="15" t="s">
        <v>47</v>
      </c>
      <c r="E10" s="26" t="n">
        <v>502200</v>
      </c>
      <c r="F10" s="16"/>
      <c r="G10" s="16"/>
      <c r="H10" s="16"/>
      <c r="I10" s="16"/>
      <c r="J10" s="16"/>
      <c r="K10" s="17" t="n">
        <f aca="false">SUM(E10:J10)</f>
        <v>502200</v>
      </c>
      <c r="L10" s="18" t="s">
        <v>147</v>
      </c>
      <c r="M10" s="19"/>
    </row>
    <row r="11" customFormat="false" ht="18" hidden="false" customHeight="true" outlineLevel="0" collapsed="false">
      <c r="A11" s="20" t="s">
        <v>56</v>
      </c>
      <c r="B11" s="21" t="s">
        <v>119</v>
      </c>
      <c r="C11" s="20" t="s">
        <v>48</v>
      </c>
      <c r="D11" s="22" t="s">
        <v>47</v>
      </c>
      <c r="E11" s="23"/>
      <c r="F11" s="23"/>
      <c r="G11" s="23"/>
      <c r="H11" s="23"/>
      <c r="I11" s="23"/>
      <c r="J11" s="23"/>
      <c r="K11" s="17" t="n">
        <f aca="false">SUM(E11:J11)</f>
        <v>0</v>
      </c>
      <c r="L11" s="24"/>
      <c r="M11" s="25"/>
    </row>
    <row r="12" customFormat="false" ht="18" hidden="false" customHeight="true" outlineLevel="0" collapsed="false">
      <c r="A12" s="13" t="s">
        <v>56</v>
      </c>
      <c r="B12" s="14" t="s">
        <v>119</v>
      </c>
      <c r="C12" s="13" t="s">
        <v>49</v>
      </c>
      <c r="D12" s="15" t="s">
        <v>47</v>
      </c>
      <c r="E12" s="26" t="n">
        <v>565900</v>
      </c>
      <c r="F12" s="16"/>
      <c r="G12" s="16"/>
      <c r="H12" s="16"/>
      <c r="I12" s="16"/>
      <c r="J12" s="16"/>
      <c r="K12" s="17" t="n">
        <f aca="false">SUM(E12:J12)</f>
        <v>565900</v>
      </c>
      <c r="L12" s="18" t="s">
        <v>148</v>
      </c>
      <c r="M12" s="19"/>
    </row>
    <row r="13" customFormat="false" ht="18" hidden="false" customHeight="true" outlineLevel="0" collapsed="false">
      <c r="A13" s="20" t="s">
        <v>65</v>
      </c>
      <c r="B13" s="21" t="s">
        <v>66</v>
      </c>
      <c r="C13" s="20" t="s">
        <v>46</v>
      </c>
      <c r="D13" s="22" t="s">
        <v>47</v>
      </c>
      <c r="E13" s="23"/>
      <c r="F13" s="23"/>
      <c r="G13" s="23"/>
      <c r="H13" s="23"/>
      <c r="I13" s="23"/>
      <c r="J13" s="23"/>
      <c r="K13" s="17" t="n">
        <f aca="false">SUM(E13:J13)</f>
        <v>0</v>
      </c>
      <c r="L13" s="24"/>
      <c r="M13" s="25"/>
    </row>
    <row r="14" customFormat="false" ht="18" hidden="false" customHeight="true" outlineLevel="0" collapsed="false">
      <c r="A14" s="13" t="s">
        <v>65</v>
      </c>
      <c r="B14" s="14" t="s">
        <v>66</v>
      </c>
      <c r="C14" s="13" t="s">
        <v>48</v>
      </c>
      <c r="D14" s="15" t="s">
        <v>47</v>
      </c>
      <c r="E14" s="16"/>
      <c r="F14" s="16"/>
      <c r="G14" s="16"/>
      <c r="H14" s="16"/>
      <c r="I14" s="16"/>
      <c r="J14" s="16"/>
      <c r="K14" s="17" t="n">
        <f aca="false">SUM(E14:J14)</f>
        <v>0</v>
      </c>
      <c r="L14" s="18"/>
      <c r="M14" s="19"/>
    </row>
    <row r="15" customFormat="false" ht="18" hidden="false" customHeight="true" outlineLevel="0" collapsed="false">
      <c r="A15" s="20" t="s">
        <v>65</v>
      </c>
      <c r="B15" s="21" t="s">
        <v>66</v>
      </c>
      <c r="C15" s="20" t="s">
        <v>49</v>
      </c>
      <c r="D15" s="22" t="s">
        <v>47</v>
      </c>
      <c r="E15" s="23"/>
      <c r="F15" s="27" t="n">
        <v>11640300</v>
      </c>
      <c r="G15" s="23"/>
      <c r="H15" s="23"/>
      <c r="I15" s="23"/>
      <c r="J15" s="23"/>
      <c r="K15" s="17" t="n">
        <f aca="false">SUM(E15:J15)</f>
        <v>11640300</v>
      </c>
      <c r="L15" s="24" t="s">
        <v>149</v>
      </c>
      <c r="M15" s="25"/>
    </row>
    <row r="16" customFormat="false" ht="18" hidden="false" customHeight="true" outlineLevel="0" collapsed="false">
      <c r="A16" s="28" t="s">
        <v>79</v>
      </c>
      <c r="B16" s="29" t="s">
        <v>79</v>
      </c>
      <c r="C16" s="28" t="s">
        <v>80</v>
      </c>
      <c r="D16" s="30" t="s">
        <v>80</v>
      </c>
      <c r="E16" s="31" t="n">
        <v>3484900</v>
      </c>
      <c r="F16" s="32"/>
      <c r="G16" s="31" t="n">
        <v>1725700</v>
      </c>
      <c r="H16" s="32"/>
      <c r="I16" s="32"/>
      <c r="J16" s="32"/>
      <c r="K16" s="17" t="n">
        <f aca="false">SUM(E16:J16)</f>
        <v>5210600</v>
      </c>
      <c r="L16" s="33" t="s">
        <v>150</v>
      </c>
      <c r="M16" s="34"/>
    </row>
    <row r="17" customFormat="false" ht="19.5" hidden="false" customHeight="true" outlineLevel="0" collapsed="false">
      <c r="A17" s="35" t="s">
        <v>82</v>
      </c>
      <c r="B17" s="35"/>
      <c r="C17" s="35"/>
      <c r="D17" s="35"/>
      <c r="E17" s="36" t="n">
        <f aca="false">SUM(E4:E16)</f>
        <v>4553000</v>
      </c>
      <c r="F17" s="36" t="n">
        <f aca="false">SUM(F4:F16)</f>
        <v>11640300</v>
      </c>
      <c r="G17" s="36" t="n">
        <f aca="false">SUM(G4:G16)</f>
        <v>12081000</v>
      </c>
      <c r="H17" s="36" t="n">
        <f aca="false">SUM(H4:H16)</f>
        <v>0</v>
      </c>
      <c r="I17" s="36" t="n">
        <f aca="false">SUM(I4:I16)</f>
        <v>0</v>
      </c>
      <c r="J17" s="36" t="n">
        <f aca="false">SUM(J4:J16)</f>
        <v>0</v>
      </c>
      <c r="K17" s="36" t="n">
        <f aca="false">SUM(K4:K16)</f>
        <v>28274300</v>
      </c>
      <c r="L17" s="37"/>
      <c r="M17" s="37"/>
    </row>
    <row r="18" customFormat="false" ht="4.5" hidden="false" customHeight="true" outlineLevel="0" collapsed="false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</row>
    <row r="19" customFormat="false" ht="18" hidden="false" customHeight="true" outlineLevel="0" collapsed="false">
      <c r="A19" s="3" t="s">
        <v>83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customFormat="false" ht="18" hidden="false" customHeight="true" outlineLevel="0" collapsed="false">
      <c r="A20" s="39" t="s">
        <v>84</v>
      </c>
      <c r="B20" s="39"/>
      <c r="C20" s="39"/>
      <c r="D20" s="39"/>
      <c r="E20" s="40" t="n">
        <f aca="false">E17</f>
        <v>4553000</v>
      </c>
      <c r="F20" s="40" t="n">
        <f aca="false">F17</f>
        <v>11640300</v>
      </c>
      <c r="G20" s="40" t="n">
        <f aca="false">G17</f>
        <v>12081000</v>
      </c>
      <c r="H20" s="40" t="n">
        <f aca="false">H17</f>
        <v>0</v>
      </c>
      <c r="I20" s="40" t="n">
        <f aca="false">I17</f>
        <v>0</v>
      </c>
      <c r="J20" s="40" t="n">
        <f aca="false">J17</f>
        <v>0</v>
      </c>
      <c r="K20" s="40" t="n">
        <f aca="false">K17</f>
        <v>28274300</v>
      </c>
      <c r="L20" s="41"/>
      <c r="M20" s="41"/>
    </row>
    <row r="21" customFormat="false" ht="18" hidden="false" customHeight="true" outlineLevel="0" collapsed="false">
      <c r="A21" s="42" t="s">
        <v>85</v>
      </c>
      <c r="B21" s="42"/>
      <c r="C21" s="42"/>
      <c r="D21" s="42"/>
      <c r="E21" s="43" t="n">
        <v>0</v>
      </c>
      <c r="F21" s="43" t="n">
        <v>0</v>
      </c>
      <c r="G21" s="43" t="n">
        <v>0</v>
      </c>
      <c r="H21" s="43" t="n">
        <v>0</v>
      </c>
      <c r="I21" s="43" t="n">
        <v>0</v>
      </c>
      <c r="J21" s="43" t="n">
        <v>0</v>
      </c>
      <c r="K21" s="44" t="n">
        <f aca="false">SUM(E21:J21)</f>
        <v>0</v>
      </c>
      <c r="L21" s="45"/>
      <c r="M21" s="45"/>
    </row>
    <row r="22" customFormat="false" ht="18" hidden="false" customHeight="true" outlineLevel="0" collapsed="false">
      <c r="A22" s="42" t="s">
        <v>86</v>
      </c>
      <c r="B22" s="42"/>
      <c r="C22" s="42"/>
      <c r="D22" s="42"/>
      <c r="E22" s="46" t="n">
        <v>0</v>
      </c>
      <c r="F22" s="46" t="n">
        <v>0</v>
      </c>
      <c r="G22" s="46" t="n">
        <v>0</v>
      </c>
      <c r="H22" s="46" t="n">
        <v>0</v>
      </c>
      <c r="I22" s="46" t="n">
        <v>0</v>
      </c>
      <c r="J22" s="46" t="n">
        <v>0</v>
      </c>
      <c r="K22" s="47" t="n">
        <f aca="false">SUM(E22:J22)</f>
        <v>0</v>
      </c>
      <c r="L22" s="45"/>
      <c r="M22" s="45"/>
    </row>
    <row r="23" customFormat="false" ht="18" hidden="false" customHeight="true" outlineLevel="0" collapsed="false">
      <c r="A23" s="48" t="s">
        <v>87</v>
      </c>
      <c r="B23" s="48"/>
      <c r="C23" s="48"/>
      <c r="D23" s="48"/>
      <c r="E23" s="49" t="n">
        <f aca="false">SUMIFS(E4:E16,B4:B16,"BCA*")</f>
        <v>0</v>
      </c>
      <c r="F23" s="49" t="n">
        <f aca="false">SUMIFS(F4:F16,B4:B16,"BCA*")</f>
        <v>0</v>
      </c>
      <c r="G23" s="49" t="n">
        <f aca="false">SUMIFS(G4:G16,B4:B16,"BCA*")</f>
        <v>10355300</v>
      </c>
      <c r="H23" s="49" t="n">
        <f aca="false">SUMIFS(H4:H16,B4:B16,"BCA*")</f>
        <v>0</v>
      </c>
      <c r="I23" s="49" t="n">
        <f aca="false">SUMIFS(I4:I16,B4:B16,"BCA*")</f>
        <v>0</v>
      </c>
      <c r="J23" s="49" t="n">
        <f aca="false">SUMIFS(J4:J16,B4:B16,"BCA*")</f>
        <v>0</v>
      </c>
      <c r="K23" s="40" t="n">
        <f aca="false">SUM(E23:J23)</f>
        <v>10355300</v>
      </c>
      <c r="L23" s="41"/>
      <c r="M23" s="41"/>
    </row>
    <row r="24" customFormat="false" ht="18" hidden="false" customHeight="true" outlineLevel="0" collapsed="false">
      <c r="A24" s="48" t="s">
        <v>88</v>
      </c>
      <c r="B24" s="48"/>
      <c r="C24" s="48"/>
      <c r="D24" s="48"/>
      <c r="E24" s="49" t="n">
        <f aca="false">SUMIFS(E4:E16,B4:B16,"BNI*")</f>
        <v>0</v>
      </c>
      <c r="F24" s="49" t="n">
        <f aca="false">SUMIFS(F4:F16,B4:B16,"BNI*")</f>
        <v>11640300</v>
      </c>
      <c r="G24" s="49" t="n">
        <f aca="false">SUMIFS(G4:G16,B4:B16,"BNI*")</f>
        <v>0</v>
      </c>
      <c r="H24" s="49" t="n">
        <f aca="false">SUMIFS(H4:H16,B4:B16,"BNI*")</f>
        <v>0</v>
      </c>
      <c r="I24" s="49" t="n">
        <f aca="false">SUMIFS(I4:I16,B4:B16,"BNI*")</f>
        <v>0</v>
      </c>
      <c r="J24" s="49" t="n">
        <f aca="false">SUMIFS(J4:J16,B4:B16,"BNI*")</f>
        <v>0</v>
      </c>
      <c r="K24" s="40" t="n">
        <f aca="false">SUM(E24:J24)</f>
        <v>11640300</v>
      </c>
      <c r="L24" s="41"/>
      <c r="M24" s="41"/>
    </row>
    <row r="25" customFormat="false" ht="18" hidden="false" customHeight="true" outlineLevel="0" collapsed="false">
      <c r="A25" s="48" t="s">
        <v>89</v>
      </c>
      <c r="B25" s="48"/>
      <c r="C25" s="48"/>
      <c r="D25" s="48"/>
      <c r="E25" s="49" t="n">
        <f aca="false">SUMIFS(E4:E16,B4:B16,"BRI*")</f>
        <v>0</v>
      </c>
      <c r="F25" s="49" t="n">
        <f aca="false">SUMIFS(F4:F16,B4:B16,"BRI*")</f>
        <v>0</v>
      </c>
      <c r="G25" s="49" t="n">
        <f aca="false">SUMIFS(G4:G16,B4:B16,"BRI*")</f>
        <v>0</v>
      </c>
      <c r="H25" s="49" t="n">
        <f aca="false">SUMIFS(H4:H16,B4:B16,"BRI*")</f>
        <v>0</v>
      </c>
      <c r="I25" s="49" t="n">
        <f aca="false">SUMIFS(I4:I16,B4:B16,"BRI*")</f>
        <v>0</v>
      </c>
      <c r="J25" s="49" t="n">
        <f aca="false">SUMIFS(J4:J16,B4:B16,"BRI*")</f>
        <v>0</v>
      </c>
      <c r="K25" s="40" t="n">
        <f aca="false">SUM(E25:J25)</f>
        <v>0</v>
      </c>
      <c r="L25" s="41"/>
      <c r="M25" s="41"/>
    </row>
    <row r="26" customFormat="false" ht="18" hidden="false" customHeight="true" outlineLevel="0" collapsed="false">
      <c r="A26" s="48" t="s">
        <v>90</v>
      </c>
      <c r="B26" s="48"/>
      <c r="C26" s="48"/>
      <c r="D26" s="48"/>
      <c r="E26" s="49" t="n">
        <f aca="false">SUMIFS(E4:E16,B4:B16,"MANDIRI*")</f>
        <v>1068100</v>
      </c>
      <c r="F26" s="49" t="n">
        <f aca="false">SUMIFS(F4:F16,B4:B16,"MANDIRI*")</f>
        <v>0</v>
      </c>
      <c r="G26" s="49" t="n">
        <f aca="false">SUMIFS(G4:G16,B4:B16,"MANDIRI*")</f>
        <v>0</v>
      </c>
      <c r="H26" s="49" t="n">
        <f aca="false">SUMIFS(H4:H16,B4:B16,"MANDIRI*")</f>
        <v>0</v>
      </c>
      <c r="I26" s="49" t="n">
        <f aca="false">SUMIFS(I4:I16,B4:B16,"MANDIRI*")</f>
        <v>0</v>
      </c>
      <c r="J26" s="49" t="n">
        <f aca="false">SUMIFS(J4:J16,B4:B16,"MANDIRI*")</f>
        <v>0</v>
      </c>
      <c r="K26" s="40" t="n">
        <f aca="false">SUM(E26:J26)</f>
        <v>1068100</v>
      </c>
      <c r="L26" s="41"/>
      <c r="M26" s="41"/>
    </row>
    <row r="27" customFormat="false" ht="18" hidden="false" customHeight="true" outlineLevel="0" collapsed="false">
      <c r="A27" s="48" t="s">
        <v>91</v>
      </c>
      <c r="B27" s="48"/>
      <c r="C27" s="48"/>
      <c r="D27" s="48"/>
      <c r="E27" s="49" t="n">
        <f aca="false">SUMIFS(E4:E16,B4:B16,"VOUCHER*")</f>
        <v>0</v>
      </c>
      <c r="F27" s="49" t="n">
        <f aca="false">SUMIFS(F4:F16,B4:B16,"VOUCHER*")</f>
        <v>0</v>
      </c>
      <c r="G27" s="49" t="n">
        <f aca="false">SUMIFS(G4:G16,B4:B16,"VOUCHER*")</f>
        <v>0</v>
      </c>
      <c r="H27" s="49" t="n">
        <f aca="false">SUMIFS(H4:H16,B4:B16,"VOUCHER*")</f>
        <v>0</v>
      </c>
      <c r="I27" s="49" t="n">
        <f aca="false">SUMIFS(I4:I16,B4:B16,"VOUCHER*")</f>
        <v>0</v>
      </c>
      <c r="J27" s="49" t="n">
        <f aca="false">SUMIFS(J4:J16,B4:B16,"VOUCHER*")</f>
        <v>0</v>
      </c>
      <c r="K27" s="40" t="n">
        <f aca="false">SUM(E27:J27)</f>
        <v>0</v>
      </c>
      <c r="L27" s="41"/>
      <c r="M27" s="41"/>
    </row>
    <row r="28" customFormat="false" ht="18" hidden="false" customHeight="true" outlineLevel="0" collapsed="false">
      <c r="A28" s="39" t="s">
        <v>92</v>
      </c>
      <c r="B28" s="39"/>
      <c r="C28" s="39"/>
      <c r="D28" s="39"/>
      <c r="E28" s="40" t="n">
        <f aca="false">E16</f>
        <v>3484900</v>
      </c>
      <c r="F28" s="40" t="n">
        <f aca="false">F16</f>
        <v>0</v>
      </c>
      <c r="G28" s="40" t="n">
        <f aca="false">G16</f>
        <v>1725700</v>
      </c>
      <c r="H28" s="40" t="n">
        <f aca="false">H16</f>
        <v>0</v>
      </c>
      <c r="I28" s="40" t="n">
        <f aca="false">I16</f>
        <v>0</v>
      </c>
      <c r="J28" s="40" t="n">
        <f aca="false">J16</f>
        <v>0</v>
      </c>
      <c r="K28" s="40" t="n">
        <f aca="false">K16</f>
        <v>5210600</v>
      </c>
      <c r="L28" s="41"/>
      <c r="M28" s="41"/>
    </row>
    <row r="29" customFormat="false" ht="19.5" hidden="false" customHeight="true" outlineLevel="0" collapsed="false">
      <c r="A29" s="39" t="s">
        <v>93</v>
      </c>
      <c r="B29" s="39"/>
      <c r="C29" s="39"/>
      <c r="D29" s="39"/>
      <c r="E29" s="40" t="n">
        <f aca="false">E23+E24+E25+E26+E27+E28</f>
        <v>4553000</v>
      </c>
      <c r="F29" s="40" t="n">
        <f aca="false">F23+F24+F25+F26+F27+F28</f>
        <v>11640300</v>
      </c>
      <c r="G29" s="40" t="n">
        <f aca="false">G23+G24+G25+G26+G27+G28</f>
        <v>12081000</v>
      </c>
      <c r="H29" s="40" t="n">
        <f aca="false">H23+H24+H25+H26+H27+H28</f>
        <v>0</v>
      </c>
      <c r="I29" s="40" t="n">
        <f aca="false">I23+I24+I25+I26+I27+I28</f>
        <v>0</v>
      </c>
      <c r="J29" s="40" t="n">
        <f aca="false">J23+J24+J25+J26+J27+J28</f>
        <v>0</v>
      </c>
      <c r="K29" s="40" t="n">
        <f aca="false">K23+K24+K25+K26+K27+K28</f>
        <v>28274300</v>
      </c>
      <c r="L29" s="41"/>
      <c r="M29" s="41"/>
    </row>
    <row r="30" customFormat="false" ht="19.5" hidden="false" customHeight="true" outlineLevel="0" collapsed="false">
      <c r="A30" s="50" t="s">
        <v>94</v>
      </c>
      <c r="B30" s="50"/>
      <c r="C30" s="50"/>
      <c r="D30" s="50"/>
      <c r="E30" s="51" t="n">
        <f aca="false">E21-E29</f>
        <v>-4553000</v>
      </c>
      <c r="F30" s="51" t="n">
        <f aca="false">F21-F29</f>
        <v>-11640300</v>
      </c>
      <c r="G30" s="51" t="n">
        <f aca="false">G21-G29</f>
        <v>-12081000</v>
      </c>
      <c r="H30" s="51" t="n">
        <f aca="false">H21-H29</f>
        <v>0</v>
      </c>
      <c r="I30" s="51" t="n">
        <f aca="false">I21-I29</f>
        <v>0</v>
      </c>
      <c r="J30" s="51" t="n">
        <f aca="false">J21-J29</f>
        <v>0</v>
      </c>
      <c r="K30" s="51" t="n">
        <f aca="false">K21-K29</f>
        <v>-28274300</v>
      </c>
      <c r="L30" s="52"/>
      <c r="M30" s="52"/>
    </row>
    <row r="31" customFormat="false" ht="18" hidden="false" customHeight="true" outlineLevel="0" collapsed="false">
      <c r="A31" s="42" t="s">
        <v>95</v>
      </c>
      <c r="B31" s="42"/>
      <c r="C31" s="42"/>
      <c r="D31" s="42"/>
      <c r="E31" s="46" t="n">
        <v>0</v>
      </c>
      <c r="F31" s="46" t="n">
        <v>0</v>
      </c>
      <c r="G31" s="46" t="n">
        <v>0</v>
      </c>
      <c r="H31" s="46" t="n">
        <v>0</v>
      </c>
      <c r="I31" s="46" t="n">
        <v>0</v>
      </c>
      <c r="J31" s="46" t="n">
        <v>0</v>
      </c>
      <c r="K31" s="47" t="n">
        <f aca="false">SUM(E31:J31)</f>
        <v>0</v>
      </c>
      <c r="L31" s="45"/>
      <c r="M31" s="45"/>
    </row>
    <row r="32" customFormat="false" ht="4.5" hidden="false" customHeight="true" outlineLevel="0" collapsed="false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</row>
    <row r="33" customFormat="false" ht="21.75" hidden="false" customHeight="true" outlineLevel="0" collapsed="false">
      <c r="A33" s="6" t="s">
        <v>151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</row>
    <row r="34" customFormat="false" ht="21.75" hidden="false" customHeight="true" outlineLevel="0" collapsed="false">
      <c r="A34" s="7" t="s">
        <v>23</v>
      </c>
      <c r="B34" s="7" t="s">
        <v>24</v>
      </c>
      <c r="C34" s="7" t="s">
        <v>25</v>
      </c>
      <c r="D34" s="7" t="s">
        <v>26</v>
      </c>
      <c r="E34" s="7" t="s">
        <v>27</v>
      </c>
      <c r="F34" s="7" t="s">
        <v>28</v>
      </c>
      <c r="G34" s="7" t="s">
        <v>29</v>
      </c>
      <c r="H34" s="7" t="s">
        <v>30</v>
      </c>
      <c r="I34" s="7" t="s">
        <v>31</v>
      </c>
      <c r="J34" s="7" t="s">
        <v>32</v>
      </c>
      <c r="K34" s="8" t="s">
        <v>33</v>
      </c>
      <c r="L34" s="7" t="s">
        <v>34</v>
      </c>
      <c r="M34" s="7" t="s">
        <v>35</v>
      </c>
    </row>
    <row r="35" customFormat="false" ht="18" hidden="false" customHeight="true" outlineLevel="0" collapsed="false">
      <c r="A35" s="9" t="s">
        <v>36</v>
      </c>
      <c r="B35" s="9"/>
      <c r="C35" s="9"/>
      <c r="D35" s="9"/>
      <c r="E35" s="10" t="s">
        <v>40</v>
      </c>
      <c r="F35" s="10" t="s">
        <v>115</v>
      </c>
      <c r="G35" s="10" t="s">
        <v>141</v>
      </c>
      <c r="H35" s="10" t="s">
        <v>42</v>
      </c>
      <c r="I35" s="10" t="s">
        <v>42</v>
      </c>
      <c r="J35" s="10" t="s">
        <v>42</v>
      </c>
      <c r="K35" s="11"/>
      <c r="L35" s="12" t="s">
        <v>43</v>
      </c>
      <c r="M35" s="12"/>
    </row>
    <row r="36" customFormat="false" ht="18" hidden="false" customHeight="true" outlineLevel="0" collapsed="false">
      <c r="A36" s="13" t="s">
        <v>101</v>
      </c>
      <c r="B36" s="14" t="s">
        <v>102</v>
      </c>
      <c r="C36" s="13" t="s">
        <v>46</v>
      </c>
      <c r="D36" s="15" t="s">
        <v>103</v>
      </c>
      <c r="E36" s="26" t="n">
        <v>1260000</v>
      </c>
      <c r="F36" s="16"/>
      <c r="G36" s="16"/>
      <c r="H36" s="16"/>
      <c r="I36" s="16"/>
      <c r="J36" s="16"/>
      <c r="K36" s="17" t="n">
        <f aca="false">SUM(E36:J36)</f>
        <v>1260000</v>
      </c>
      <c r="L36" s="18" t="s">
        <v>152</v>
      </c>
      <c r="M36" s="19" t="s">
        <v>153</v>
      </c>
    </row>
    <row r="37" customFormat="false" ht="18" hidden="false" customHeight="true" outlineLevel="0" collapsed="false">
      <c r="A37" s="20" t="s">
        <v>101</v>
      </c>
      <c r="B37" s="21" t="s">
        <v>102</v>
      </c>
      <c r="C37" s="20" t="s">
        <v>48</v>
      </c>
      <c r="D37" s="22" t="s">
        <v>103</v>
      </c>
      <c r="E37" s="23"/>
      <c r="F37" s="23"/>
      <c r="G37" s="23"/>
      <c r="H37" s="23"/>
      <c r="I37" s="23"/>
      <c r="J37" s="23"/>
      <c r="K37" s="17" t="n">
        <f aca="false">SUM(E37:J37)</f>
        <v>0</v>
      </c>
      <c r="L37" s="24"/>
      <c r="M37" s="25"/>
    </row>
    <row r="38" customFormat="false" ht="18" hidden="false" customHeight="true" outlineLevel="0" collapsed="false">
      <c r="A38" s="13" t="s">
        <v>101</v>
      </c>
      <c r="B38" s="14" t="s">
        <v>102</v>
      </c>
      <c r="C38" s="13" t="s">
        <v>49</v>
      </c>
      <c r="D38" s="15" t="s">
        <v>103</v>
      </c>
      <c r="E38" s="26" t="n">
        <v>8820000</v>
      </c>
      <c r="F38" s="16"/>
      <c r="G38" s="16"/>
      <c r="H38" s="16"/>
      <c r="I38" s="16"/>
      <c r="J38" s="16"/>
      <c r="K38" s="17" t="n">
        <f aca="false">SUM(E38:J38)</f>
        <v>8820000</v>
      </c>
      <c r="L38" s="18" t="s">
        <v>154</v>
      </c>
      <c r="M38" s="19"/>
    </row>
    <row r="39" customFormat="false" ht="18" hidden="false" customHeight="true" outlineLevel="0" collapsed="false">
      <c r="A39" s="20" t="s">
        <v>155</v>
      </c>
      <c r="B39" s="21" t="s">
        <v>156</v>
      </c>
      <c r="C39" s="20" t="s">
        <v>46</v>
      </c>
      <c r="D39" s="22" t="s">
        <v>103</v>
      </c>
      <c r="E39" s="27" t="n">
        <v>4620000</v>
      </c>
      <c r="F39" s="23"/>
      <c r="G39" s="23"/>
      <c r="H39" s="23"/>
      <c r="I39" s="23"/>
      <c r="J39" s="23"/>
      <c r="K39" s="17" t="n">
        <f aca="false">SUM(E39:J39)</f>
        <v>4620000</v>
      </c>
      <c r="L39" s="24" t="s">
        <v>157</v>
      </c>
      <c r="M39" s="25"/>
    </row>
    <row r="40" customFormat="false" ht="18" hidden="false" customHeight="true" outlineLevel="0" collapsed="false">
      <c r="A40" s="13" t="s">
        <v>155</v>
      </c>
      <c r="B40" s="14" t="s">
        <v>156</v>
      </c>
      <c r="C40" s="13" t="s">
        <v>48</v>
      </c>
      <c r="D40" s="15" t="s">
        <v>103</v>
      </c>
      <c r="E40" s="16"/>
      <c r="F40" s="16"/>
      <c r="G40" s="16"/>
      <c r="H40" s="16"/>
      <c r="I40" s="16"/>
      <c r="J40" s="16"/>
      <c r="K40" s="17" t="n">
        <f aca="false">SUM(E40:J40)</f>
        <v>0</v>
      </c>
      <c r="L40" s="18"/>
      <c r="M40" s="19"/>
    </row>
    <row r="41" customFormat="false" ht="18" hidden="false" customHeight="true" outlineLevel="0" collapsed="false">
      <c r="A41" s="20" t="s">
        <v>155</v>
      </c>
      <c r="B41" s="21" t="s">
        <v>156</v>
      </c>
      <c r="C41" s="20" t="s">
        <v>49</v>
      </c>
      <c r="D41" s="22" t="s">
        <v>103</v>
      </c>
      <c r="E41" s="27" t="n">
        <v>2730000</v>
      </c>
      <c r="F41" s="23"/>
      <c r="G41" s="23"/>
      <c r="H41" s="23"/>
      <c r="I41" s="23"/>
      <c r="J41" s="23"/>
      <c r="K41" s="17" t="n">
        <f aca="false">SUM(E41:J41)</f>
        <v>2730000</v>
      </c>
      <c r="L41" s="24" t="s">
        <v>158</v>
      </c>
      <c r="M41" s="25"/>
    </row>
    <row r="42" customFormat="false" ht="18" hidden="false" customHeight="true" outlineLevel="0" collapsed="false">
      <c r="A42" s="28" t="s">
        <v>79</v>
      </c>
      <c r="B42" s="29" t="s">
        <v>79</v>
      </c>
      <c r="C42" s="28" t="s">
        <v>80</v>
      </c>
      <c r="D42" s="30" t="s">
        <v>80</v>
      </c>
      <c r="E42" s="32"/>
      <c r="F42" s="32"/>
      <c r="G42" s="32"/>
      <c r="H42" s="32"/>
      <c r="I42" s="32"/>
      <c r="J42" s="32"/>
      <c r="K42" s="17" t="n">
        <f aca="false">SUM(E42:J42)</f>
        <v>0</v>
      </c>
      <c r="L42" s="33"/>
      <c r="M42" s="34"/>
    </row>
    <row r="43" customFormat="false" ht="19.5" hidden="false" customHeight="true" outlineLevel="0" collapsed="false">
      <c r="A43" s="35" t="s">
        <v>107</v>
      </c>
      <c r="B43" s="35"/>
      <c r="C43" s="35"/>
      <c r="D43" s="35"/>
      <c r="E43" s="36" t="n">
        <f aca="false">SUM(E36:E42)</f>
        <v>17430000</v>
      </c>
      <c r="F43" s="36" t="n">
        <f aca="false">SUM(F36:F42)</f>
        <v>0</v>
      </c>
      <c r="G43" s="36" t="n">
        <f aca="false">SUM(G36:G42)</f>
        <v>0</v>
      </c>
      <c r="H43" s="36" t="n">
        <f aca="false">SUM(H36:H42)</f>
        <v>0</v>
      </c>
      <c r="I43" s="36" t="n">
        <f aca="false">SUM(I36:I42)</f>
        <v>0</v>
      </c>
      <c r="J43" s="36" t="n">
        <f aca="false">SUM(J36:J42)</f>
        <v>0</v>
      </c>
      <c r="K43" s="36" t="n">
        <f aca="false">SUM(K36:K42)</f>
        <v>17430000</v>
      </c>
      <c r="L43" s="37"/>
      <c r="M43" s="37"/>
    </row>
    <row r="44" customFormat="false" ht="4.5" hidden="false" customHeight="true" outlineLevel="0" collapsed="false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</row>
    <row r="45" customFormat="false" ht="18" hidden="false" customHeight="true" outlineLevel="0" collapsed="false">
      <c r="A45" s="3" t="s">
        <v>108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customFormat="false" ht="18" hidden="false" customHeight="true" outlineLevel="0" collapsed="false">
      <c r="A46" s="39" t="s">
        <v>84</v>
      </c>
      <c r="B46" s="39"/>
      <c r="C46" s="39"/>
      <c r="D46" s="39"/>
      <c r="E46" s="40" t="n">
        <f aca="false">E43</f>
        <v>17430000</v>
      </c>
      <c r="F46" s="40" t="n">
        <f aca="false">F43</f>
        <v>0</v>
      </c>
      <c r="G46" s="40" t="n">
        <f aca="false">G43</f>
        <v>0</v>
      </c>
      <c r="H46" s="40" t="n">
        <f aca="false">H43</f>
        <v>0</v>
      </c>
      <c r="I46" s="40" t="n">
        <f aca="false">I43</f>
        <v>0</v>
      </c>
      <c r="J46" s="40" t="n">
        <f aca="false">J43</f>
        <v>0</v>
      </c>
      <c r="K46" s="40" t="n">
        <f aca="false">K43</f>
        <v>17430000</v>
      </c>
      <c r="L46" s="41"/>
      <c r="M46" s="41"/>
    </row>
    <row r="47" customFormat="false" ht="18" hidden="false" customHeight="true" outlineLevel="0" collapsed="false">
      <c r="A47" s="42" t="s">
        <v>85</v>
      </c>
      <c r="B47" s="42"/>
      <c r="C47" s="42"/>
      <c r="D47" s="42"/>
      <c r="E47" s="43" t="n">
        <v>0</v>
      </c>
      <c r="F47" s="43" t="n">
        <v>0</v>
      </c>
      <c r="G47" s="43" t="n">
        <v>0</v>
      </c>
      <c r="H47" s="43" t="n">
        <v>0</v>
      </c>
      <c r="I47" s="43" t="n">
        <v>0</v>
      </c>
      <c r="J47" s="43" t="n">
        <v>0</v>
      </c>
      <c r="K47" s="44" t="n">
        <f aca="false">SUM(E47:J47)</f>
        <v>0</v>
      </c>
      <c r="L47" s="45"/>
      <c r="M47" s="45"/>
    </row>
    <row r="48" customFormat="false" ht="18" hidden="false" customHeight="true" outlineLevel="0" collapsed="false">
      <c r="A48" s="42" t="s">
        <v>86</v>
      </c>
      <c r="B48" s="42"/>
      <c r="C48" s="42"/>
      <c r="D48" s="42"/>
      <c r="E48" s="46" t="n">
        <v>0</v>
      </c>
      <c r="F48" s="46" t="n">
        <v>0</v>
      </c>
      <c r="G48" s="46" t="n">
        <v>0</v>
      </c>
      <c r="H48" s="46" t="n">
        <v>0</v>
      </c>
      <c r="I48" s="46" t="n">
        <v>0</v>
      </c>
      <c r="J48" s="46" t="n">
        <v>0</v>
      </c>
      <c r="K48" s="47" t="n">
        <f aca="false">SUM(E48:J48)</f>
        <v>0</v>
      </c>
      <c r="L48" s="45"/>
      <c r="M48" s="45"/>
    </row>
    <row r="49" customFormat="false" ht="18" hidden="false" customHeight="true" outlineLevel="0" collapsed="false">
      <c r="A49" s="48" t="s">
        <v>87</v>
      </c>
      <c r="B49" s="48"/>
      <c r="C49" s="48"/>
      <c r="D49" s="48"/>
      <c r="E49" s="49" t="n">
        <f aca="false">SUMIFS(E36:E42,B36:B42,"BCA*")</f>
        <v>0</v>
      </c>
      <c r="F49" s="49" t="n">
        <f aca="false">SUMIFS(F36:F42,B36:B42,"BCA*")</f>
        <v>0</v>
      </c>
      <c r="G49" s="49" t="n">
        <f aca="false">SUMIFS(G36:G42,B36:B42,"BCA*")</f>
        <v>0</v>
      </c>
      <c r="H49" s="49" t="n">
        <f aca="false">SUMIFS(H36:H42,B36:B42,"BCA*")</f>
        <v>0</v>
      </c>
      <c r="I49" s="49" t="n">
        <f aca="false">SUMIFS(I36:I42,B36:B42,"BCA*")</f>
        <v>0</v>
      </c>
      <c r="J49" s="49" t="n">
        <f aca="false">SUMIFS(J36:J42,B36:B42,"BCA*")</f>
        <v>0</v>
      </c>
      <c r="K49" s="40" t="n">
        <f aca="false">SUM(E49:J49)</f>
        <v>0</v>
      </c>
      <c r="L49" s="41"/>
      <c r="M49" s="41"/>
    </row>
    <row r="50" customFormat="false" ht="18" hidden="false" customHeight="true" outlineLevel="0" collapsed="false">
      <c r="A50" s="48" t="s">
        <v>88</v>
      </c>
      <c r="B50" s="48"/>
      <c r="C50" s="48"/>
      <c r="D50" s="48"/>
      <c r="E50" s="49" t="n">
        <f aca="false">SUMIFS(E36:E42,B36:B42,"BNI*")</f>
        <v>10080000</v>
      </c>
      <c r="F50" s="49" t="n">
        <f aca="false">SUMIFS(F36:F42,B36:B42,"BNI*")</f>
        <v>0</v>
      </c>
      <c r="G50" s="49" t="n">
        <f aca="false">SUMIFS(G36:G42,B36:B42,"BNI*")</f>
        <v>0</v>
      </c>
      <c r="H50" s="49" t="n">
        <f aca="false">SUMIFS(H36:H42,B36:B42,"BNI*")</f>
        <v>0</v>
      </c>
      <c r="I50" s="49" t="n">
        <f aca="false">SUMIFS(I36:I42,B36:B42,"BNI*")</f>
        <v>0</v>
      </c>
      <c r="J50" s="49" t="n">
        <f aca="false">SUMIFS(J36:J42,B36:B42,"BNI*")</f>
        <v>0</v>
      </c>
      <c r="K50" s="40" t="n">
        <f aca="false">SUM(E50:J50)</f>
        <v>10080000</v>
      </c>
      <c r="L50" s="41"/>
      <c r="M50" s="41"/>
    </row>
    <row r="51" customFormat="false" ht="18" hidden="false" customHeight="true" outlineLevel="0" collapsed="false">
      <c r="A51" s="48" t="s">
        <v>89</v>
      </c>
      <c r="B51" s="48"/>
      <c r="C51" s="48"/>
      <c r="D51" s="48"/>
      <c r="E51" s="49" t="n">
        <f aca="false">SUMIFS(E36:E42,B36:B42,"BRI*")</f>
        <v>7350000</v>
      </c>
      <c r="F51" s="49" t="n">
        <f aca="false">SUMIFS(F36:F42,B36:B42,"BRI*")</f>
        <v>0</v>
      </c>
      <c r="G51" s="49" t="n">
        <f aca="false">SUMIFS(G36:G42,B36:B42,"BRI*")</f>
        <v>0</v>
      </c>
      <c r="H51" s="49" t="n">
        <f aca="false">SUMIFS(H36:H42,B36:B42,"BRI*")</f>
        <v>0</v>
      </c>
      <c r="I51" s="49" t="n">
        <f aca="false">SUMIFS(I36:I42,B36:B42,"BRI*")</f>
        <v>0</v>
      </c>
      <c r="J51" s="49" t="n">
        <f aca="false">SUMIFS(J36:J42,B36:B42,"BRI*")</f>
        <v>0</v>
      </c>
      <c r="K51" s="40" t="n">
        <f aca="false">SUM(E51:J51)</f>
        <v>7350000</v>
      </c>
      <c r="L51" s="41"/>
      <c r="M51" s="41"/>
    </row>
    <row r="52" customFormat="false" ht="18" hidden="false" customHeight="true" outlineLevel="0" collapsed="false">
      <c r="A52" s="48" t="s">
        <v>90</v>
      </c>
      <c r="B52" s="48"/>
      <c r="C52" s="48"/>
      <c r="D52" s="48"/>
      <c r="E52" s="49" t="n">
        <f aca="false">SUMIFS(E36:E42,B36:B42,"MANDIRI*")</f>
        <v>0</v>
      </c>
      <c r="F52" s="49" t="n">
        <f aca="false">SUMIFS(F36:F42,B36:B42,"MANDIRI*")</f>
        <v>0</v>
      </c>
      <c r="G52" s="49" t="n">
        <f aca="false">SUMIFS(G36:G42,B36:B42,"MANDIRI*")</f>
        <v>0</v>
      </c>
      <c r="H52" s="49" t="n">
        <f aca="false">SUMIFS(H36:H42,B36:B42,"MANDIRI*")</f>
        <v>0</v>
      </c>
      <c r="I52" s="49" t="n">
        <f aca="false">SUMIFS(I36:I42,B36:B42,"MANDIRI*")</f>
        <v>0</v>
      </c>
      <c r="J52" s="49" t="n">
        <f aca="false">SUMIFS(J36:J42,B36:B42,"MANDIRI*")</f>
        <v>0</v>
      </c>
      <c r="K52" s="40" t="n">
        <f aca="false">SUM(E52:J52)</f>
        <v>0</v>
      </c>
      <c r="L52" s="41"/>
      <c r="M52" s="41"/>
    </row>
    <row r="53" customFormat="false" ht="18" hidden="false" customHeight="true" outlineLevel="0" collapsed="false">
      <c r="A53" s="48" t="s">
        <v>91</v>
      </c>
      <c r="B53" s="48"/>
      <c r="C53" s="48"/>
      <c r="D53" s="48"/>
      <c r="E53" s="49" t="n">
        <f aca="false">SUMIFS(E36:E42,B36:B42,"VOUCHER*")</f>
        <v>0</v>
      </c>
      <c r="F53" s="49" t="n">
        <f aca="false">SUMIFS(F36:F42,B36:B42,"VOUCHER*")</f>
        <v>0</v>
      </c>
      <c r="G53" s="49" t="n">
        <f aca="false">SUMIFS(G36:G42,B36:B42,"VOUCHER*")</f>
        <v>0</v>
      </c>
      <c r="H53" s="49" t="n">
        <f aca="false">SUMIFS(H36:H42,B36:B42,"VOUCHER*")</f>
        <v>0</v>
      </c>
      <c r="I53" s="49" t="n">
        <f aca="false">SUMIFS(I36:I42,B36:B42,"VOUCHER*")</f>
        <v>0</v>
      </c>
      <c r="J53" s="49" t="n">
        <f aca="false">SUMIFS(J36:J42,B36:B42,"VOUCHER*")</f>
        <v>0</v>
      </c>
      <c r="K53" s="40" t="n">
        <f aca="false">SUM(E53:J53)</f>
        <v>0</v>
      </c>
      <c r="L53" s="41"/>
      <c r="M53" s="41"/>
    </row>
    <row r="54" customFormat="false" ht="18" hidden="false" customHeight="true" outlineLevel="0" collapsed="false">
      <c r="A54" s="39" t="s">
        <v>92</v>
      </c>
      <c r="B54" s="39"/>
      <c r="C54" s="39"/>
      <c r="D54" s="39"/>
      <c r="E54" s="40" t="n">
        <f aca="false">E42</f>
        <v>0</v>
      </c>
      <c r="F54" s="40" t="n">
        <f aca="false">F42</f>
        <v>0</v>
      </c>
      <c r="G54" s="40" t="n">
        <f aca="false">G42</f>
        <v>0</v>
      </c>
      <c r="H54" s="40" t="n">
        <f aca="false">H42</f>
        <v>0</v>
      </c>
      <c r="I54" s="40" t="n">
        <f aca="false">I42</f>
        <v>0</v>
      </c>
      <c r="J54" s="40" t="n">
        <f aca="false">J42</f>
        <v>0</v>
      </c>
      <c r="K54" s="40" t="n">
        <f aca="false">K42</f>
        <v>0</v>
      </c>
      <c r="L54" s="41"/>
      <c r="M54" s="41"/>
    </row>
    <row r="55" customFormat="false" ht="19.5" hidden="false" customHeight="true" outlineLevel="0" collapsed="false">
      <c r="A55" s="39" t="s">
        <v>93</v>
      </c>
      <c r="B55" s="39"/>
      <c r="C55" s="39"/>
      <c r="D55" s="39"/>
      <c r="E55" s="40" t="n">
        <f aca="false">E49+E50+E51+E52+E53+E54</f>
        <v>17430000</v>
      </c>
      <c r="F55" s="40" t="n">
        <f aca="false">F49+F50+F51+F52+F53+F54</f>
        <v>0</v>
      </c>
      <c r="G55" s="40" t="n">
        <f aca="false">G49+G50+G51+G52+G53+G54</f>
        <v>0</v>
      </c>
      <c r="H55" s="40" t="n">
        <f aca="false">H49+H50+H51+H52+H53+H54</f>
        <v>0</v>
      </c>
      <c r="I55" s="40" t="n">
        <f aca="false">I49+I50+I51+I52+I53+I54</f>
        <v>0</v>
      </c>
      <c r="J55" s="40" t="n">
        <f aca="false">J49+J50+J51+J52+J53+J54</f>
        <v>0</v>
      </c>
      <c r="K55" s="40" t="n">
        <f aca="false">K49+K50+K51+K52+K53+K54</f>
        <v>17430000</v>
      </c>
      <c r="L55" s="41"/>
      <c r="M55" s="41"/>
    </row>
    <row r="56" customFormat="false" ht="19.5" hidden="false" customHeight="true" outlineLevel="0" collapsed="false">
      <c r="A56" s="50" t="s">
        <v>94</v>
      </c>
      <c r="B56" s="50"/>
      <c r="C56" s="50"/>
      <c r="D56" s="50"/>
      <c r="E56" s="51" t="n">
        <f aca="false">E47-E55</f>
        <v>-17430000</v>
      </c>
      <c r="F56" s="51" t="n">
        <f aca="false">F47-F55</f>
        <v>0</v>
      </c>
      <c r="G56" s="51" t="n">
        <f aca="false">G47-G55</f>
        <v>0</v>
      </c>
      <c r="H56" s="51" t="n">
        <f aca="false">H47-H55</f>
        <v>0</v>
      </c>
      <c r="I56" s="51" t="n">
        <f aca="false">I47-I55</f>
        <v>0</v>
      </c>
      <c r="J56" s="51" t="n">
        <f aca="false">J47-J55</f>
        <v>0</v>
      </c>
      <c r="K56" s="51" t="n">
        <f aca="false">K47-K55</f>
        <v>-17430000</v>
      </c>
      <c r="L56" s="52"/>
      <c r="M56" s="52"/>
    </row>
    <row r="57" customFormat="false" ht="18" hidden="false" customHeight="true" outlineLevel="0" collapsed="false">
      <c r="A57" s="42" t="s">
        <v>95</v>
      </c>
      <c r="B57" s="42"/>
      <c r="C57" s="42"/>
      <c r="D57" s="42"/>
      <c r="E57" s="46" t="n">
        <v>0</v>
      </c>
      <c r="F57" s="46" t="n">
        <v>0</v>
      </c>
      <c r="G57" s="46" t="n">
        <v>0</v>
      </c>
      <c r="H57" s="46" t="n">
        <v>0</v>
      </c>
      <c r="I57" s="46" t="n">
        <v>0</v>
      </c>
      <c r="J57" s="46" t="n">
        <v>0</v>
      </c>
      <c r="K57" s="47" t="n">
        <f aca="false">SUM(E57:J57)</f>
        <v>0</v>
      </c>
      <c r="L57" s="45"/>
      <c r="M57" s="45"/>
    </row>
    <row r="58" customFormat="false" ht="4.5" hidden="false" customHeight="true" outlineLevel="0" collapsed="false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</row>
    <row r="59" customFormat="false" ht="25.5" hidden="false" customHeight="true" outlineLevel="0" collapsed="false">
      <c r="A59" s="53" t="s">
        <v>109</v>
      </c>
      <c r="B59" s="53"/>
      <c r="C59" s="53"/>
      <c r="D59" s="53"/>
      <c r="E59" s="54" t="n">
        <f aca="false">E20+E46</f>
        <v>21983000</v>
      </c>
      <c r="F59" s="54" t="n">
        <f aca="false">F20+F46</f>
        <v>11640300</v>
      </c>
      <c r="G59" s="54" t="n">
        <f aca="false">G20+G46</f>
        <v>12081000</v>
      </c>
      <c r="H59" s="54" t="n">
        <f aca="false">H20+H46</f>
        <v>0</v>
      </c>
      <c r="I59" s="54" t="n">
        <f aca="false">I20+I46</f>
        <v>0</v>
      </c>
      <c r="J59" s="54" t="n">
        <f aca="false">J20+J46</f>
        <v>0</v>
      </c>
      <c r="K59" s="54" t="n">
        <f aca="false">K20+K46</f>
        <v>45704300</v>
      </c>
      <c r="L59" s="55"/>
      <c r="M59" s="55"/>
    </row>
    <row r="60" customFormat="false" ht="4.5" hidden="false" customHeight="true" outlineLevel="0" collapsed="false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</row>
    <row r="61" customFormat="false" ht="18" hidden="false" customHeight="true" outlineLevel="0" collapsed="false">
      <c r="A61" s="56" t="s">
        <v>110</v>
      </c>
      <c r="B61" s="56"/>
      <c r="C61" s="56"/>
      <c r="D61" s="56"/>
      <c r="E61" s="56"/>
      <c r="F61" s="56"/>
      <c r="H61" s="56" t="s">
        <v>111</v>
      </c>
      <c r="I61" s="56"/>
      <c r="J61" s="56"/>
      <c r="K61" s="56"/>
      <c r="L61" s="56"/>
      <c r="M61" s="56"/>
    </row>
    <row r="62" customFormat="false" ht="18" hidden="false" customHeight="true" outlineLevel="0" collapsed="false">
      <c r="A62" s="57" t="s">
        <v>112</v>
      </c>
      <c r="B62" s="57"/>
      <c r="C62" s="57"/>
      <c r="D62" s="57"/>
      <c r="E62" s="57"/>
      <c r="F62" s="57"/>
      <c r="H62" s="57" t="s">
        <v>112</v>
      </c>
      <c r="I62" s="57"/>
      <c r="J62" s="57"/>
      <c r="K62" s="57"/>
      <c r="L62" s="57"/>
      <c r="M62" s="57"/>
    </row>
    <row r="63" customFormat="false" ht="39.75" hidden="false" customHeight="true" outlineLevel="0" collapsed="false">
      <c r="A63" s="57" t="s">
        <v>113</v>
      </c>
      <c r="B63" s="57"/>
      <c r="C63" s="57"/>
      <c r="D63" s="57"/>
      <c r="E63" s="57"/>
      <c r="F63" s="57"/>
      <c r="H63" s="57" t="s">
        <v>113</v>
      </c>
      <c r="I63" s="57"/>
      <c r="J63" s="57"/>
      <c r="K63" s="57"/>
      <c r="L63" s="57"/>
      <c r="M63" s="57"/>
    </row>
  </sheetData>
  <mergeCells count="46">
    <mergeCell ref="A1:M1"/>
    <mergeCell ref="A3:D3"/>
    <mergeCell ref="L3:M3"/>
    <mergeCell ref="A17:D17"/>
    <mergeCell ref="A18:M18"/>
    <mergeCell ref="A19:M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M32"/>
    <mergeCell ref="A33:M33"/>
    <mergeCell ref="A35:D35"/>
    <mergeCell ref="L35:M35"/>
    <mergeCell ref="A43:D43"/>
    <mergeCell ref="A44:M44"/>
    <mergeCell ref="A45:M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M58"/>
    <mergeCell ref="A59:D59"/>
    <mergeCell ref="A60:M60"/>
    <mergeCell ref="A61:F61"/>
    <mergeCell ref="H61:M61"/>
    <mergeCell ref="A62:F62"/>
    <mergeCell ref="H62:M62"/>
    <mergeCell ref="A63:F63"/>
    <mergeCell ref="H63:M63"/>
  </mergeCells>
  <dataValidations count="2">
    <dataValidation allowBlank="true" error="Hanya: QR, DEBIT, KK" errorStyle="stop" errorTitle="Jenis Tidak Valid" operator="between" showDropDown="false" showErrorMessage="true" showInputMessage="false" sqref="C1:C500" type="list">
      <formula1>"QR,DEBIT,KK,-"</formula1>
      <formula2>0</formula2>
    </dataValidation>
    <dataValidation allowBlank="true" error="Pilih dari daftar." errorStyle="stop" errorTitle="Entitas Tidak Valid" operator="between" showDropDown="false" showErrorMessage="true" showInputMessage="false" sqref="D1:D500" type="list">
      <formula1>"PT CAHAYA MENTARI BERSINAR,CV BERKAT JAYA BAHAGIA,CV TUNAS MUDA KREASI,CV KARYA BERSAMA ANUGERAH,-"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4" min="2" style="1" width="22"/>
    <col collapsed="false" customWidth="true" hidden="false" outlineLevel="0" max="5" min="5" style="1" width="50"/>
  </cols>
  <sheetData>
    <row r="1" customFormat="false" ht="27.75" hidden="false" customHeight="true" outlineLevel="0" collapsed="false">
      <c r="A1" s="2" t="s">
        <v>159</v>
      </c>
      <c r="B1" s="2"/>
      <c r="C1" s="2"/>
      <c r="D1" s="2"/>
      <c r="E1" s="2"/>
    </row>
    <row r="2" customFormat="false" ht="19.5" hidden="false" customHeight="true" outlineLevel="0" collapsed="false">
      <c r="A2" s="58" t="s">
        <v>160</v>
      </c>
      <c r="B2" s="58" t="s">
        <v>161</v>
      </c>
      <c r="C2" s="58" t="s">
        <v>162</v>
      </c>
      <c r="D2" s="58" t="s">
        <v>163</v>
      </c>
      <c r="E2" s="58" t="s">
        <v>35</v>
      </c>
    </row>
    <row r="3" customFormat="false" ht="15" hidden="false" customHeight="true" outlineLevel="0" collapsed="false">
      <c r="A3" s="59" t="n">
        <v>46082</v>
      </c>
      <c r="B3" s="60" t="n">
        <f aca="false">IFERROR('01'!K78,0)</f>
        <v>45085900</v>
      </c>
      <c r="C3" s="61" t="n">
        <v>0</v>
      </c>
      <c r="D3" s="62" t="n">
        <f aca="false">B3+C3</f>
        <v>45085900</v>
      </c>
      <c r="E3" s="18"/>
    </row>
    <row r="4" customFormat="false" ht="15" hidden="false" customHeight="true" outlineLevel="0" collapsed="false">
      <c r="A4" s="63" t="n">
        <v>46083</v>
      </c>
      <c r="B4" s="64" t="n">
        <f aca="false">IFERROR('02'!K78,0)</f>
        <v>0</v>
      </c>
      <c r="C4" s="61" t="n">
        <v>0</v>
      </c>
      <c r="D4" s="62" t="n">
        <f aca="false">B4+C4</f>
        <v>0</v>
      </c>
      <c r="E4" s="24"/>
    </row>
    <row r="5" customFormat="false" ht="15" hidden="false" customHeight="true" outlineLevel="0" collapsed="false">
      <c r="A5" s="59" t="n">
        <v>46084</v>
      </c>
      <c r="B5" s="60" t="n">
        <f aca="false">IFERROR('03'!K59,0)</f>
        <v>45704300</v>
      </c>
      <c r="C5" s="61" t="n">
        <v>0</v>
      </c>
      <c r="D5" s="62" t="n">
        <f aca="false">B5+C5</f>
        <v>45704300</v>
      </c>
      <c r="E5" s="18"/>
    </row>
    <row r="6" customFormat="false" ht="15" hidden="false" customHeight="true" outlineLevel="0" collapsed="false">
      <c r="A6" s="63" t="n">
        <v>46085</v>
      </c>
      <c r="B6" s="64" t="n">
        <f aca="false">IFERROR('04'!k78,0)</f>
        <v>0</v>
      </c>
      <c r="C6" s="61" t="n">
        <v>0</v>
      </c>
      <c r="D6" s="62" t="n">
        <f aca="false">B6+C6</f>
        <v>0</v>
      </c>
      <c r="E6" s="24"/>
    </row>
    <row r="7" customFormat="false" ht="15" hidden="false" customHeight="true" outlineLevel="0" collapsed="false">
      <c r="A7" s="59" t="n">
        <v>46086</v>
      </c>
      <c r="B7" s="60" t="n">
        <f aca="false">IFERROR('05'!k78,0)</f>
        <v>0</v>
      </c>
      <c r="C7" s="61" t="n">
        <v>0</v>
      </c>
      <c r="D7" s="62" t="n">
        <f aca="false">B7+C7</f>
        <v>0</v>
      </c>
      <c r="E7" s="18"/>
    </row>
    <row r="8" customFormat="false" ht="15" hidden="false" customHeight="true" outlineLevel="0" collapsed="false">
      <c r="A8" s="63" t="n">
        <v>46087</v>
      </c>
      <c r="B8" s="64" t="n">
        <f aca="false">IFERROR('06'!k78,0)</f>
        <v>0</v>
      </c>
      <c r="C8" s="61" t="n">
        <v>0</v>
      </c>
      <c r="D8" s="62" t="n">
        <f aca="false">B8+C8</f>
        <v>0</v>
      </c>
      <c r="E8" s="24"/>
    </row>
    <row r="9" customFormat="false" ht="15" hidden="false" customHeight="true" outlineLevel="0" collapsed="false">
      <c r="A9" s="59" t="n">
        <v>46088</v>
      </c>
      <c r="B9" s="60" t="n">
        <f aca="false">IFERROR('07'!k78,0)</f>
        <v>0</v>
      </c>
      <c r="C9" s="61" t="n">
        <v>0</v>
      </c>
      <c r="D9" s="62" t="n">
        <f aca="false">B9+C9</f>
        <v>0</v>
      </c>
      <c r="E9" s="18"/>
    </row>
    <row r="10" customFormat="false" ht="15" hidden="false" customHeight="true" outlineLevel="0" collapsed="false">
      <c r="A10" s="63" t="n">
        <v>46089</v>
      </c>
      <c r="B10" s="64" t="n">
        <f aca="false">IFERROR('08'!k78,0)</f>
        <v>0</v>
      </c>
      <c r="C10" s="61" t="n">
        <v>0</v>
      </c>
      <c r="D10" s="62" t="n">
        <f aca="false">B10+C10</f>
        <v>0</v>
      </c>
      <c r="E10" s="24"/>
    </row>
    <row r="11" customFormat="false" ht="15" hidden="false" customHeight="true" outlineLevel="0" collapsed="false">
      <c r="A11" s="59" t="n">
        <v>46090</v>
      </c>
      <c r="B11" s="60" t="n">
        <f aca="false">IFERROR('09'!k78,0)</f>
        <v>0</v>
      </c>
      <c r="C11" s="61" t="n">
        <v>0</v>
      </c>
      <c r="D11" s="62" t="n">
        <f aca="false">B11+C11</f>
        <v>0</v>
      </c>
      <c r="E11" s="18"/>
    </row>
    <row r="12" customFormat="false" ht="15" hidden="false" customHeight="true" outlineLevel="0" collapsed="false">
      <c r="A12" s="63" t="n">
        <v>46091</v>
      </c>
      <c r="B12" s="64" t="n">
        <f aca="false">IFERROR('10'!k78,0)</f>
        <v>0</v>
      </c>
      <c r="C12" s="61" t="n">
        <v>0</v>
      </c>
      <c r="D12" s="62" t="n">
        <f aca="false">B12+C12</f>
        <v>0</v>
      </c>
      <c r="E12" s="24"/>
    </row>
    <row r="13" customFormat="false" ht="15" hidden="false" customHeight="true" outlineLevel="0" collapsed="false">
      <c r="A13" s="59" t="n">
        <v>46092</v>
      </c>
      <c r="B13" s="60" t="n">
        <f aca="false">IFERROR('11'!k78,0)</f>
        <v>0</v>
      </c>
      <c r="C13" s="61" t="n">
        <v>0</v>
      </c>
      <c r="D13" s="62" t="n">
        <f aca="false">B13+C13</f>
        <v>0</v>
      </c>
      <c r="E13" s="18"/>
    </row>
    <row r="14" customFormat="false" ht="15" hidden="false" customHeight="true" outlineLevel="0" collapsed="false">
      <c r="A14" s="63" t="n">
        <v>46093</v>
      </c>
      <c r="B14" s="64" t="n">
        <f aca="false">IFERROR('12'!k78,0)</f>
        <v>0</v>
      </c>
      <c r="C14" s="61" t="n">
        <v>0</v>
      </c>
      <c r="D14" s="62" t="n">
        <f aca="false">B14+C14</f>
        <v>0</v>
      </c>
      <c r="E14" s="24"/>
    </row>
    <row r="15" customFormat="false" ht="15" hidden="false" customHeight="true" outlineLevel="0" collapsed="false">
      <c r="A15" s="59" t="n">
        <v>46094</v>
      </c>
      <c r="B15" s="60" t="n">
        <f aca="false">IFERROR('13'!k78,0)</f>
        <v>0</v>
      </c>
      <c r="C15" s="61" t="n">
        <v>0</v>
      </c>
      <c r="D15" s="62" t="n">
        <f aca="false">B15+C15</f>
        <v>0</v>
      </c>
      <c r="E15" s="18"/>
    </row>
    <row r="16" customFormat="false" ht="15" hidden="false" customHeight="true" outlineLevel="0" collapsed="false">
      <c r="A16" s="63" t="n">
        <v>46095</v>
      </c>
      <c r="B16" s="64" t="n">
        <f aca="false">IFERROR('14'!k78,0)</f>
        <v>0</v>
      </c>
      <c r="C16" s="61" t="n">
        <v>0</v>
      </c>
      <c r="D16" s="62" t="n">
        <f aca="false">B16+C16</f>
        <v>0</v>
      </c>
      <c r="E16" s="24"/>
    </row>
    <row r="17" customFormat="false" ht="15" hidden="false" customHeight="true" outlineLevel="0" collapsed="false">
      <c r="A17" s="59" t="n">
        <v>46096</v>
      </c>
      <c r="B17" s="60" t="n">
        <f aca="false">IFERROR('15'!k78,0)</f>
        <v>0</v>
      </c>
      <c r="C17" s="61" t="n">
        <v>0</v>
      </c>
      <c r="D17" s="62" t="n">
        <f aca="false">B17+C17</f>
        <v>0</v>
      </c>
      <c r="E17" s="18"/>
    </row>
    <row r="18" customFormat="false" ht="15" hidden="false" customHeight="true" outlineLevel="0" collapsed="false">
      <c r="A18" s="63" t="n">
        <v>46097</v>
      </c>
      <c r="B18" s="64" t="n">
        <f aca="false">IFERROR('16'!k78,0)</f>
        <v>0</v>
      </c>
      <c r="C18" s="61" t="n">
        <v>0</v>
      </c>
      <c r="D18" s="62" t="n">
        <f aca="false">B18+C18</f>
        <v>0</v>
      </c>
      <c r="E18" s="24"/>
    </row>
    <row r="19" customFormat="false" ht="15" hidden="false" customHeight="true" outlineLevel="0" collapsed="false">
      <c r="A19" s="59" t="n">
        <v>46098</v>
      </c>
      <c r="B19" s="60" t="n">
        <f aca="false">IFERROR('17'!k78,0)</f>
        <v>0</v>
      </c>
      <c r="C19" s="61" t="n">
        <v>0</v>
      </c>
      <c r="D19" s="62" t="n">
        <f aca="false">B19+C19</f>
        <v>0</v>
      </c>
      <c r="E19" s="18"/>
    </row>
    <row r="20" customFormat="false" ht="15" hidden="false" customHeight="true" outlineLevel="0" collapsed="false">
      <c r="A20" s="63" t="n">
        <v>46099</v>
      </c>
      <c r="B20" s="64" t="n">
        <f aca="false">IFERROR('18'!k78,0)</f>
        <v>0</v>
      </c>
      <c r="C20" s="61" t="n">
        <v>0</v>
      </c>
      <c r="D20" s="62" t="n">
        <f aca="false">B20+C20</f>
        <v>0</v>
      </c>
      <c r="E20" s="24"/>
    </row>
    <row r="21" customFormat="false" ht="15" hidden="false" customHeight="true" outlineLevel="0" collapsed="false">
      <c r="A21" s="59" t="n">
        <v>46100</v>
      </c>
      <c r="B21" s="60" t="n">
        <f aca="false">IFERROR('19'!k78,0)</f>
        <v>0</v>
      </c>
      <c r="C21" s="61" t="n">
        <v>0</v>
      </c>
      <c r="D21" s="62" t="n">
        <f aca="false">B21+C21</f>
        <v>0</v>
      </c>
      <c r="E21" s="18"/>
    </row>
    <row r="22" customFormat="false" ht="15" hidden="false" customHeight="true" outlineLevel="0" collapsed="false">
      <c r="A22" s="63" t="n">
        <v>46101</v>
      </c>
      <c r="B22" s="64" t="n">
        <f aca="false">IFERROR('20'!k78,0)</f>
        <v>0</v>
      </c>
      <c r="C22" s="61" t="n">
        <v>0</v>
      </c>
      <c r="D22" s="62" t="n">
        <f aca="false">B22+C22</f>
        <v>0</v>
      </c>
      <c r="E22" s="24"/>
    </row>
    <row r="23" customFormat="false" ht="15" hidden="false" customHeight="true" outlineLevel="0" collapsed="false">
      <c r="A23" s="59" t="n">
        <v>46102</v>
      </c>
      <c r="B23" s="60" t="n">
        <f aca="false">IFERROR('21'!k78,0)</f>
        <v>0</v>
      </c>
      <c r="C23" s="61" t="n">
        <v>0</v>
      </c>
      <c r="D23" s="62" t="n">
        <f aca="false">B23+C23</f>
        <v>0</v>
      </c>
      <c r="E23" s="18"/>
    </row>
    <row r="24" customFormat="false" ht="15" hidden="false" customHeight="true" outlineLevel="0" collapsed="false">
      <c r="A24" s="63" t="n">
        <v>46103</v>
      </c>
      <c r="B24" s="64" t="n">
        <f aca="false">IFERROR('22'!k78,0)</f>
        <v>0</v>
      </c>
      <c r="C24" s="61" t="n">
        <v>0</v>
      </c>
      <c r="D24" s="62" t="n">
        <f aca="false">B24+C24</f>
        <v>0</v>
      </c>
      <c r="E24" s="24"/>
    </row>
    <row r="25" customFormat="false" ht="15" hidden="false" customHeight="true" outlineLevel="0" collapsed="false">
      <c r="A25" s="59" t="n">
        <v>46104</v>
      </c>
      <c r="B25" s="60" t="n">
        <f aca="false">IFERROR('23'!k78,0)</f>
        <v>0</v>
      </c>
      <c r="C25" s="61" t="n">
        <v>0</v>
      </c>
      <c r="D25" s="62" t="n">
        <f aca="false">B25+C25</f>
        <v>0</v>
      </c>
      <c r="E25" s="18"/>
    </row>
    <row r="26" customFormat="false" ht="15" hidden="false" customHeight="true" outlineLevel="0" collapsed="false">
      <c r="A26" s="63" t="n">
        <v>46105</v>
      </c>
      <c r="B26" s="64" t="n">
        <f aca="false">IFERROR('24'!k78,0)</f>
        <v>0</v>
      </c>
      <c r="C26" s="61" t="n">
        <v>0</v>
      </c>
      <c r="D26" s="62" t="n">
        <f aca="false">B26+C26</f>
        <v>0</v>
      </c>
      <c r="E26" s="24"/>
    </row>
    <row r="27" customFormat="false" ht="15" hidden="false" customHeight="true" outlineLevel="0" collapsed="false">
      <c r="A27" s="59" t="n">
        <v>46106</v>
      </c>
      <c r="B27" s="60" t="n">
        <f aca="false">IFERROR('25'!k78,0)</f>
        <v>0</v>
      </c>
      <c r="C27" s="61" t="n">
        <v>0</v>
      </c>
      <c r="D27" s="62" t="n">
        <f aca="false">B27+C27</f>
        <v>0</v>
      </c>
      <c r="E27" s="18"/>
    </row>
    <row r="28" customFormat="false" ht="15" hidden="false" customHeight="true" outlineLevel="0" collapsed="false">
      <c r="A28" s="63" t="n">
        <v>46107</v>
      </c>
      <c r="B28" s="64" t="n">
        <f aca="false">IFERROR('26'!k78,0)</f>
        <v>0</v>
      </c>
      <c r="C28" s="61" t="n">
        <v>0</v>
      </c>
      <c r="D28" s="62" t="n">
        <f aca="false">B28+C28</f>
        <v>0</v>
      </c>
      <c r="E28" s="24"/>
    </row>
    <row r="29" customFormat="false" ht="15" hidden="false" customHeight="true" outlineLevel="0" collapsed="false">
      <c r="A29" s="59" t="n">
        <v>46108</v>
      </c>
      <c r="B29" s="60" t="n">
        <f aca="false">IFERROR('27'!k78,0)</f>
        <v>0</v>
      </c>
      <c r="C29" s="61" t="n">
        <v>0</v>
      </c>
      <c r="D29" s="62" t="n">
        <f aca="false">B29+C29</f>
        <v>0</v>
      </c>
      <c r="E29" s="18"/>
    </row>
    <row r="30" customFormat="false" ht="15" hidden="false" customHeight="true" outlineLevel="0" collapsed="false">
      <c r="A30" s="63" t="n">
        <v>46109</v>
      </c>
      <c r="B30" s="64" t="n">
        <f aca="false">IFERROR('28'!k78,0)</f>
        <v>0</v>
      </c>
      <c r="C30" s="61" t="n">
        <v>0</v>
      </c>
      <c r="D30" s="62" t="n">
        <f aca="false">B30+C30</f>
        <v>0</v>
      </c>
      <c r="E30" s="24"/>
    </row>
    <row r="31" customFormat="false" ht="15" hidden="false" customHeight="true" outlineLevel="0" collapsed="false">
      <c r="A31" s="59" t="n">
        <v>46110</v>
      </c>
      <c r="B31" s="60" t="n">
        <f aca="false">IFERROR('29'!k78,0)</f>
        <v>0</v>
      </c>
      <c r="C31" s="61" t="n">
        <v>0</v>
      </c>
      <c r="D31" s="62" t="n">
        <f aca="false">B31+C31</f>
        <v>0</v>
      </c>
      <c r="E31" s="18"/>
    </row>
    <row r="32" customFormat="false" ht="15" hidden="false" customHeight="true" outlineLevel="0" collapsed="false">
      <c r="A32" s="63" t="n">
        <v>46111</v>
      </c>
      <c r="B32" s="64" t="n">
        <f aca="false">IFERROR('30'!k78,0)</f>
        <v>0</v>
      </c>
      <c r="C32" s="61" t="n">
        <v>0</v>
      </c>
      <c r="D32" s="62" t="n">
        <f aca="false">B32+C32</f>
        <v>0</v>
      </c>
      <c r="E32" s="24"/>
    </row>
    <row r="33" customFormat="false" ht="15" hidden="false" customHeight="true" outlineLevel="0" collapsed="false">
      <c r="A33" s="59" t="n">
        <v>46112</v>
      </c>
      <c r="B33" s="60" t="n">
        <f aca="false">IFERROR('31'!k78,0)</f>
        <v>0</v>
      </c>
      <c r="C33" s="61" t="n">
        <v>0</v>
      </c>
      <c r="D33" s="62" t="n">
        <f aca="false">B33+C33</f>
        <v>0</v>
      </c>
      <c r="E33" s="18"/>
    </row>
    <row r="34" customFormat="false" ht="21.75" hidden="false" customHeight="true" outlineLevel="0" collapsed="false">
      <c r="A34" s="65" t="s">
        <v>164</v>
      </c>
      <c r="B34" s="66" t="n">
        <f aca="false">SUM(B3:B33)</f>
        <v>90790200</v>
      </c>
      <c r="C34" s="66" t="n">
        <f aca="false">SUM(C3:C33)</f>
        <v>0</v>
      </c>
      <c r="D34" s="66" t="n">
        <f aca="false">SUM(D3:D33)</f>
        <v>90790200</v>
      </c>
      <c r="E34" s="67"/>
    </row>
    <row r="36" customFormat="false" ht="15" hidden="false" customHeight="true" outlineLevel="0" collapsed="false">
      <c r="A36" s="68" t="s">
        <v>165</v>
      </c>
      <c r="B36" s="68"/>
      <c r="C36" s="68"/>
      <c r="D36" s="68"/>
      <c r="E36" s="68"/>
    </row>
  </sheetData>
  <mergeCells count="2">
    <mergeCell ref="A1:E1"/>
    <mergeCell ref="A36:E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2026-03-13T11:14:21Z</dcterms:created>
  <dc:creator>openpyxl</dc:creator>
  <dc:description/>
  <dc:language>en-US</dc:language>
  <cp:lastModifiedBy/>
  <dcterms:modified xsi:type="dcterms:W3CDTF">2026-03-13T11:14:35Z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